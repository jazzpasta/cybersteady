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P" sheetId="1" state="visible" r:id="rId1"/>
    <sheet xmlns:r="http://schemas.openxmlformats.org/officeDocument/2006/relationships" name="来源" sheetId="2" state="visible" r:id="rId2"/>
  </sheets>
  <definedNames>
    <definedName name="_xlnm.Print_Area" localSheetId="0">'SOTP'!$A$1:$J$30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  <font>
      <b val="1"/>
      <color rgb="001F3864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3" fontId="3" fillId="3" borderId="0" applyAlignment="1" pivotButton="0" quotePrefix="0" xfId="0">
      <alignment vertical="center"/>
    </xf>
    <xf numFmtId="165" fontId="3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24" customWidth="1" min="5" max="5"/>
    <col width="2" customWidth="1" min="6" max="6"/>
    <col width="20" customWidth="1" min="7" max="7"/>
    <col width="9" customWidth="1" min="8" max="8"/>
    <col width="7" customWidth="1" min="9" max="9"/>
    <col width="20" customWidth="1" min="10" max="10"/>
  </cols>
  <sheetData>
    <row r="1">
      <c r="A1" s="1" t="inlineStr">
        <is>
          <t>ROHM 6963 — SOTP（2026-09-29，现价 ¥4,833）</t>
        </is>
      </c>
    </row>
    <row r="2">
      <c r="A2" s="2" t="inlineStr">
        <is>
          <t>蓝字 = 假设（可改）；黑字 = 公式。单位：亿円 / 百万株 / 円。完整来源见「来源」sheet。</t>
        </is>
      </c>
    </row>
    <row r="4">
      <c r="A4" s="3" t="inlineStr">
        <is>
          <t>情景假设</t>
        </is>
      </c>
      <c r="B4" s="3" t="inlineStr">
        <is>
          <t>Bear</t>
        </is>
      </c>
      <c r="C4" s="3" t="inlineStr">
        <is>
          <t>Base</t>
        </is>
      </c>
      <c r="D4" s="3" t="inlineStr">
        <is>
          <t>Bull</t>
        </is>
      </c>
      <c r="E4" s="3" t="inlineStr">
        <is>
          <t>说明</t>
        </is>
      </c>
      <c r="F4" s="4" t="n"/>
      <c r="G4" s="3" t="inlineStr">
        <is>
          <t>固定假设</t>
        </is>
      </c>
      <c r="H4" s="3" t="inlineStr">
        <is>
          <t>值</t>
        </is>
      </c>
      <c r="I4" s="3" t="inlineStr">
        <is>
          <t>单位</t>
        </is>
      </c>
      <c r="J4" s="3" t="inlineStr">
        <is>
          <t>来源</t>
        </is>
      </c>
    </row>
    <row r="5">
      <c r="A5" s="4" t="inlineStr">
        <is>
          <t>FY3/28 OP</t>
        </is>
      </c>
      <c r="B5" s="5" t="n">
        <v>800</v>
      </c>
      <c r="C5" s="5" t="n">
        <v>1000</v>
      </c>
      <c r="D5" s="5" t="n">
        <v>1200</v>
      </c>
      <c r="E5" s="4" t="inlineStr">
        <is>
          <t>自有三档</t>
        </is>
      </c>
      <c r="F5" s="4" t="n"/>
      <c r="G5" s="6" t="inlineStr">
        <is>
          <t>市场</t>
        </is>
      </c>
      <c r="H5" s="4" t="n"/>
      <c r="I5" s="4" t="n"/>
      <c r="J5" s="4" t="n"/>
    </row>
    <row r="6">
      <c r="A6" s="4" t="inlineStr">
        <is>
          <t>本业 EV/OP</t>
        </is>
      </c>
      <c r="B6" s="7" t="n">
        <v>9</v>
      </c>
      <c r="C6" s="7" t="n">
        <v>11.6</v>
      </c>
      <c r="D6" s="8">
        <f>$H$29</f>
        <v/>
      </c>
      <c r="E6" s="4" t="inlineStr">
        <is>
          <t>Base=峰值EV÷OP1,000</t>
        </is>
      </c>
      <c r="F6" s="4" t="n"/>
      <c r="G6" s="4" t="inlineStr">
        <is>
          <t>ROHM 股价</t>
        </is>
      </c>
      <c r="H6" s="5" t="n">
        <v>4833</v>
      </c>
      <c r="I6" s="4" t="inlineStr">
        <is>
          <t>円</t>
        </is>
      </c>
      <c r="J6" s="4" t="inlineStr">
        <is>
          <t>9/28 收盘</t>
        </is>
      </c>
    </row>
    <row r="7">
      <c r="A7" s="4" t="inlineStr">
        <is>
          <t>东芝 EBITDA（FY3/27E）</t>
        </is>
      </c>
      <c r="B7" s="5" t="n">
        <v>5610</v>
      </c>
      <c r="C7" s="5" t="n">
        <v>7670</v>
      </c>
      <c r="D7" s="5" t="n">
        <v>7670</v>
      </c>
      <c r="E7" s="4" t="inlineStr">
        <is>
          <t>指引 / 1Q run-rate</t>
        </is>
      </c>
      <c r="F7" s="4" t="n"/>
      <c r="G7" s="4" t="inlineStr">
        <is>
          <t>ROHM 股数</t>
        </is>
      </c>
      <c r="H7" s="9" t="n">
        <v>386</v>
      </c>
      <c r="I7" s="4" t="inlineStr">
        <is>
          <t>百万株</t>
        </is>
      </c>
      <c r="J7" s="4" t="inlineStr">
        <is>
          <t>发行−库存股</t>
        </is>
      </c>
    </row>
    <row r="8">
      <c r="A8" s="4" t="inlineStr">
        <is>
          <t>东芝本业 EV/EBITDA</t>
        </is>
      </c>
      <c r="B8" s="7" t="n">
        <v>9.4</v>
      </c>
      <c r="C8" s="7" t="n">
        <v>9.4</v>
      </c>
      <c r="D8" s="7" t="n">
        <v>13</v>
      </c>
      <c r="E8" s="4" t="inlineStr">
        <is>
          <t>9.4x=TOB 倍数</t>
        </is>
      </c>
      <c r="F8" s="4" t="n"/>
      <c r="G8" s="4" t="inlineStr">
        <is>
          <t>Kioxia 股价</t>
        </is>
      </c>
      <c r="H8" s="5" t="n">
        <v>53340</v>
      </c>
      <c r="I8" s="4" t="inlineStr">
        <is>
          <t>円</t>
        </is>
      </c>
      <c r="J8" s="4" t="inlineStr">
        <is>
          <t>9/28 收盘</t>
        </is>
      </c>
    </row>
    <row r="9">
      <c r="A9" s="4" t="inlineStr">
        <is>
          <t>东芝本业折价</t>
        </is>
      </c>
      <c r="B9" s="7" t="n">
        <v>0.5600000000000001</v>
      </c>
      <c r="C9" s="7" t="n">
        <v>0.7</v>
      </c>
      <c r="D9" s="7" t="n">
        <v>0.85</v>
      </c>
      <c r="E9" s="4" t="inlineStr">
        <is>
          <t>LP 无流动性×时间</t>
        </is>
      </c>
      <c r="F9" s="4" t="n"/>
      <c r="G9" s="6" t="inlineStr">
        <is>
          <t>ROHM 资产负债（26/6）</t>
        </is>
      </c>
      <c r="H9" s="4" t="n"/>
      <c r="I9" s="4" t="n"/>
      <c r="J9" s="4" t="n"/>
    </row>
    <row r="10">
      <c r="A10" s="4" t="inlineStr">
        <is>
          <t>Kioxia 折价</t>
        </is>
      </c>
      <c r="B10" s="7" t="n">
        <v>0.5</v>
      </c>
      <c r="C10" s="7" t="n">
        <v>0.5</v>
      </c>
      <c r="D10" s="7" t="n">
        <v>0.5</v>
      </c>
      <c r="E10" s="4" t="inlineStr">
        <is>
          <t>周期+时间</t>
        </is>
      </c>
      <c r="F10" s="4" t="n"/>
      <c r="G10" s="4" t="inlineStr">
        <is>
          <t>现金及存款</t>
        </is>
      </c>
      <c r="H10" s="5" t="n">
        <v>4559</v>
      </c>
      <c r="I10" s="4" t="inlineStr">
        <is>
          <t>亿円</t>
        </is>
      </c>
      <c r="J10" s="4" t="inlineStr">
        <is>
          <t>1Q 短信</t>
        </is>
      </c>
    </row>
    <row r="11">
      <c r="A11" s="4" t="n"/>
      <c r="B11" s="4" t="n"/>
      <c r="C11" s="4" t="n"/>
      <c r="D11" s="4" t="n"/>
      <c r="E11" s="4" t="n"/>
      <c r="F11" s="4" t="n"/>
      <c r="G11" s="4" t="inlineStr">
        <is>
          <t>有息负债（含 CB）</t>
        </is>
      </c>
      <c r="H11" s="5" t="n">
        <v>4000</v>
      </c>
      <c r="I11" s="4" t="inlineStr">
        <is>
          <t>亿円</t>
        </is>
      </c>
      <c r="J11" s="4" t="inlineStr">
        <is>
          <t>CB2,000+借1,000+1,000</t>
        </is>
      </c>
    </row>
    <row r="12">
      <c r="A12" s="3" t="inlineStr">
        <is>
          <t>计算</t>
        </is>
      </c>
      <c r="B12" s="3" t="inlineStr">
        <is>
          <t>Bear</t>
        </is>
      </c>
      <c r="C12" s="3" t="inlineStr">
        <is>
          <t>Base</t>
        </is>
      </c>
      <c r="D12" s="3" t="inlineStr">
        <is>
          <t>Bull</t>
        </is>
      </c>
      <c r="E12" s="3" t="inlineStr">
        <is>
          <t>公式</t>
        </is>
      </c>
      <c r="F12" s="4" t="n"/>
      <c r="G12" s="4" t="inlineStr">
        <is>
          <t>折旧（FY3/27 指引）</t>
        </is>
      </c>
      <c r="H12" s="5" t="n">
        <v>413</v>
      </c>
      <c r="I12" s="4" t="inlineStr">
        <is>
          <t>亿円</t>
        </is>
      </c>
      <c r="J12" s="4" t="inlineStr">
        <is>
          <t>Data Sheet</t>
        </is>
      </c>
    </row>
    <row r="13">
      <c r="A13" s="6" t="inlineStr">
        <is>
          <t>A. ROHM 本业</t>
        </is>
      </c>
      <c r="B13" s="4" t="n"/>
      <c r="C13" s="4" t="n"/>
      <c r="D13" s="4" t="n"/>
      <c r="E13" s="4" t="n"/>
      <c r="F13" s="4" t="n"/>
      <c r="G13" s="6" t="inlineStr">
        <is>
          <t>CB</t>
        </is>
      </c>
      <c r="H13" s="4" t="n"/>
      <c r="I13" s="4" t="n"/>
      <c r="J13" s="4" t="n"/>
    </row>
    <row r="14">
      <c r="A14" s="4" t="inlineStr">
        <is>
          <t>本业 EV</t>
        </is>
      </c>
      <c r="B14" s="10">
        <f>B$5*B$6</f>
        <v/>
      </c>
      <c r="C14" s="10">
        <f>C$5*C$6</f>
        <v/>
      </c>
      <c r="D14" s="10">
        <f>D$5*D$6</f>
        <v/>
      </c>
      <c r="E14" s="4" t="inlineStr">
        <is>
          <t>OP × 倍数</t>
        </is>
      </c>
      <c r="F14" s="4" t="n"/>
      <c r="G14" s="4" t="inlineStr">
        <is>
          <t>CB29 面值</t>
        </is>
      </c>
      <c r="H14" s="5" t="n">
        <v>1000</v>
      </c>
      <c r="I14" s="4" t="inlineStr">
        <is>
          <t>亿円</t>
        </is>
      </c>
      <c r="J14" s="4" t="inlineStr">
        <is>
          <t>发行公告</t>
        </is>
      </c>
    </row>
    <row r="15">
      <c r="A15" s="4" t="inlineStr">
        <is>
          <t>净现金</t>
        </is>
      </c>
      <c r="B15" s="10">
        <f>$H$10-$H$11</f>
        <v/>
      </c>
      <c r="C15" s="10">
        <f>$H$10-$H$11</f>
        <v/>
      </c>
      <c r="D15" s="10">
        <f>$H$10-$H$11</f>
        <v/>
      </c>
      <c r="E15" s="4" t="inlineStr">
        <is>
          <t>现金 − 有息负债</t>
        </is>
      </c>
      <c r="F15" s="4" t="n"/>
      <c r="G15" s="4" t="inlineStr">
        <is>
          <t>CB29 转股价</t>
        </is>
      </c>
      <c r="H15" s="5" t="n">
        <v>3063</v>
      </c>
      <c r="I15" s="4" t="inlineStr">
        <is>
          <t>円</t>
        </is>
      </c>
      <c r="J15" s="4" t="inlineStr">
        <is>
          <t>未调整（1Q EPS 反推）</t>
        </is>
      </c>
    </row>
    <row r="16">
      <c r="A16" s="6" t="inlineStr">
        <is>
          <t>B. 东芝持股</t>
        </is>
      </c>
      <c r="B16" s="4" t="n"/>
      <c r="C16" s="4" t="n"/>
      <c r="D16" s="4" t="n"/>
      <c r="E16" s="4" t="n"/>
      <c r="F16" s="4" t="n"/>
      <c r="G16" s="4" t="inlineStr">
        <is>
          <t>CB31 面值</t>
        </is>
      </c>
      <c r="H16" s="5" t="n">
        <v>1000</v>
      </c>
      <c r="I16" s="4" t="inlineStr">
        <is>
          <t>亿円</t>
        </is>
      </c>
      <c r="J16" s="4" t="inlineStr">
        <is>
          <t>发行公告</t>
        </is>
      </c>
    </row>
    <row r="17">
      <c r="A17" s="4" t="inlineStr">
        <is>
          <t>东芝本业 EV（折价后）</t>
        </is>
      </c>
      <c r="B17" s="10">
        <f>B$7*B$8*B$9</f>
        <v/>
      </c>
      <c r="C17" s="10">
        <f>C$7*C$8*C$9</f>
        <v/>
      </c>
      <c r="D17" s="10">
        <f>D$7*D$8*D$9</f>
        <v/>
      </c>
      <c r="E17" s="4" t="inlineStr">
        <is>
          <t>EBITDA × 倍数 × 折价</t>
        </is>
      </c>
      <c r="F17" s="4" t="n"/>
      <c r="G17" s="4" t="inlineStr">
        <is>
          <t>CB31 转股价</t>
        </is>
      </c>
      <c r="H17" s="5" t="n">
        <v>2943</v>
      </c>
      <c r="I17" s="4" t="inlineStr">
        <is>
          <t>円</t>
        </is>
      </c>
      <c r="J17" s="4" t="inlineStr">
        <is>
          <t>同上</t>
        </is>
      </c>
    </row>
    <row r="18">
      <c r="A18" s="4" t="inlineStr">
        <is>
          <t>Kioxia 市值（东芝所持）</t>
        </is>
      </c>
      <c r="B18" s="10">
        <f>$H$21*$H$8/100</f>
        <v/>
      </c>
      <c r="C18" s="10">
        <f>$H$21*$H$8/100</f>
        <v/>
      </c>
      <c r="D18" s="10">
        <f>$H$21*$H$8/100</f>
        <v/>
      </c>
      <c r="E18" s="4" t="inlineStr">
        <is>
          <t>股数 × 股价</t>
        </is>
      </c>
      <c r="F18" s="4" t="n"/>
      <c r="G18" s="6" t="inlineStr">
        <is>
          <t>东芝持股</t>
        </is>
      </c>
      <c r="H18" s="4" t="n"/>
      <c r="I18" s="4" t="n"/>
      <c r="J18" s="4" t="n"/>
    </row>
    <row r="19">
      <c r="A19" s="4" t="inlineStr">
        <is>
          <t xml:space="preserve">  税后 × 折价</t>
        </is>
      </c>
      <c r="B19" s="10">
        <f>(B18-$H$24*MAX(0,B18-$H$22))*B$10</f>
        <v/>
      </c>
      <c r="C19" s="10">
        <f>(C18-$H$24*MAX(0,C18-$H$22))*C$10</f>
        <v/>
      </c>
      <c r="D19" s="10">
        <f>(D18-$H$24*MAX(0,D18-$H$22))*D$10</f>
        <v/>
      </c>
      <c r="E19" s="4" t="inlineStr">
        <is>
          <t>[V − t(V−成本)] × 折价</t>
        </is>
      </c>
      <c r="F19" s="4" t="n"/>
      <c r="G19" s="4" t="inlineStr">
        <is>
          <t>ROHM 持东芝</t>
        </is>
      </c>
      <c r="H19" s="11" t="n">
        <v>0.15</v>
      </c>
      <c r="I19" s="4" t="inlineStr"/>
      <c r="J19" s="4" t="inlineStr">
        <is>
          <t>IR「15% 弱」</t>
        </is>
      </c>
    </row>
    <row r="20">
      <c r="A20" s="4" t="inlineStr">
        <is>
          <t>东芝股权</t>
        </is>
      </c>
      <c r="B20" s="10">
        <f>B17+B19+$H$23</f>
        <v/>
      </c>
      <c r="C20" s="10">
        <f>C17+C19+$H$23</f>
        <v/>
      </c>
      <c r="D20" s="10">
        <f>D17+D19+$H$23</f>
        <v/>
      </c>
      <c r="E20" s="4" t="inlineStr">
        <is>
          <t>本业 + Kioxia + 净负债调整</t>
        </is>
      </c>
      <c r="F20" s="4" t="n"/>
      <c r="G20" s="4" t="inlineStr">
        <is>
          <t>ROHM 投资成本</t>
        </is>
      </c>
      <c r="H20" s="5" t="n">
        <v>1000</v>
      </c>
      <c r="I20" s="4" t="inlineStr">
        <is>
          <t>亿円</t>
        </is>
      </c>
      <c r="J20" s="4" t="inlineStr">
        <is>
          <t>LP 出资</t>
        </is>
      </c>
    </row>
    <row r="21">
      <c r="A21" s="4" t="inlineStr">
        <is>
          <t>ROHM 份额（按成本扣税）</t>
        </is>
      </c>
      <c r="B21" s="10">
        <f>B20*$H$19-$H$24*MAX(0,B20*$H$19-$H$20)</f>
        <v/>
      </c>
      <c r="C21" s="10">
        <f>C20*$H$19-$H$24*MAX(0,C20*$H$19-$H$20)</f>
        <v/>
      </c>
      <c r="D21" s="10">
        <f>D20*$H$19-$H$24*MAX(0,D20*$H$19-$H$20)</f>
        <v/>
      </c>
      <c r="E21" s="4" t="inlineStr">
        <is>
          <t>V − t(V−成本)，V = 股权 × 15%</t>
        </is>
      </c>
      <c r="F21" s="4" t="n"/>
      <c r="G21" s="4" t="inlineStr">
        <is>
          <t>东芝持 Kioxia 股数</t>
        </is>
      </c>
      <c r="H21" s="9" t="n">
        <v>70.3823</v>
      </c>
      <c r="I21" s="4" t="inlineStr">
        <is>
          <t>百万株</t>
        </is>
      </c>
      <c r="J21" s="4" t="inlineStr">
        <is>
          <t>大量保有 9/14</t>
        </is>
      </c>
    </row>
    <row r="22">
      <c r="A22" s="6" t="inlineStr">
        <is>
          <t>C. 每股价值</t>
        </is>
      </c>
      <c r="B22" s="4" t="n"/>
      <c r="C22" s="4" t="n"/>
      <c r="D22" s="4" t="n"/>
      <c r="E22" s="4" t="n"/>
      <c r="F22" s="4" t="n"/>
      <c r="G22" s="4" t="inlineStr">
        <is>
          <t>东芝 Kioxia 成本</t>
        </is>
      </c>
      <c r="H22" s="5" t="n">
        <v>1120</v>
      </c>
      <c r="I22" s="4" t="inlineStr">
        <is>
          <t>亿円</t>
        </is>
      </c>
      <c r="J22" s="4" t="inlineStr">
        <is>
          <t>⚠️凭记忆未核</t>
        </is>
      </c>
    </row>
    <row r="23">
      <c r="A23" s="4" t="inlineStr">
        <is>
          <t>股权价值</t>
        </is>
      </c>
      <c r="B23" s="10">
        <f>B14+B15+B21</f>
        <v/>
      </c>
      <c r="C23" s="10">
        <f>C14+C15+C21</f>
        <v/>
      </c>
      <c r="D23" s="10">
        <f>D14+D15+D21</f>
        <v/>
      </c>
      <c r="E23" s="4" t="inlineStr">
        <is>
          <t>本业 EV + 净现金 + 东芝份额</t>
        </is>
      </c>
      <c r="F23" s="4" t="n"/>
      <c r="G23" s="4" t="inlineStr">
        <is>
          <t>东芝净负债调整</t>
        </is>
      </c>
      <c r="H23" s="5" t="n">
        <v>2300</v>
      </c>
      <c r="I23" s="4" t="inlineStr">
        <is>
          <t>亿円</t>
        </is>
      </c>
      <c r="J23" s="4" t="inlineStr">
        <is>
          <t>⚠️估算</t>
        </is>
      </c>
    </row>
    <row r="24">
      <c r="A24" s="4" t="inlineStr">
        <is>
          <t>每股（不稀释）</t>
        </is>
      </c>
      <c r="B24" s="10">
        <f>B23*100/$H$7</f>
        <v/>
      </c>
      <c r="C24" s="10">
        <f>C23*100/$H$7</f>
        <v/>
      </c>
      <c r="D24" s="10">
        <f>D23*100/$H$7</f>
        <v/>
      </c>
      <c r="E24" s="4" t="inlineStr">
        <is>
          <t>÷ 股数</t>
        </is>
      </c>
      <c r="F24" s="4" t="n"/>
      <c r="G24" s="4" t="inlineStr">
        <is>
          <t>税率（实效）</t>
        </is>
      </c>
      <c r="H24" s="11" t="n">
        <v>0.306</v>
      </c>
      <c r="I24" s="4" t="inlineStr"/>
      <c r="J24" s="4" t="inlineStr">
        <is>
          <t>法定</t>
        </is>
      </c>
    </row>
    <row r="25">
      <c r="A25" s="4" t="inlineStr">
        <is>
          <t>CB 新增股数</t>
        </is>
      </c>
      <c r="B25" s="12">
        <f>$H$14*100/$H$15+$H$16*100/$H$17</f>
        <v/>
      </c>
      <c r="C25" s="12">
        <f>$H$14*100/$H$15+$H$16*100/$H$17</f>
        <v/>
      </c>
      <c r="D25" s="12">
        <f>$H$14*100/$H$15+$H$16*100/$H$17</f>
        <v/>
      </c>
      <c r="E25" s="4" t="inlineStr">
        <is>
          <t>面值 ÷ 转股价</t>
        </is>
      </c>
      <c r="F25" s="4" t="n"/>
      <c r="G25" s="6" t="inlineStr">
        <is>
          <t>2023 峰值（参考）</t>
        </is>
      </c>
      <c r="H25" s="4" t="n"/>
      <c r="I25" s="4" t="n"/>
      <c r="J25" s="4" t="n"/>
    </row>
    <row r="26">
      <c r="A26" s="4" t="inlineStr">
        <is>
          <t>每股（稀释后）</t>
        </is>
      </c>
      <c r="B26" s="13">
        <f>IF(B24&gt;($H$14+$H$16)*100/B25,(B23+$H$14+$H$16)*100/($H$7+B25),B24)</f>
        <v/>
      </c>
      <c r="C26" s="13">
        <f>IF(C24&gt;($H$14+$H$16)*100/C25,(C23+$H$14+$H$16)*100/($H$7+C25),C24)</f>
        <v/>
      </c>
      <c r="D26" s="13">
        <f>IF(D24&gt;($H$14+$H$16)*100/D25,(D23+$H$14+$H$16)*100/($H$7+D25),D24)</f>
        <v/>
      </c>
      <c r="E26" s="4" t="inlineStr">
        <is>
          <t>高于转股价则全部转股</t>
        </is>
      </c>
      <c r="F26" s="4" t="n"/>
      <c r="G26" s="4" t="inlineStr">
        <is>
          <t>峰值市值 23/7</t>
        </is>
      </c>
      <c r="H26" s="5" t="n">
        <v>13810</v>
      </c>
      <c r="I26" s="4" t="inlineStr">
        <is>
          <t>亿円</t>
        </is>
      </c>
      <c r="J26" s="4" t="inlineStr">
        <is>
          <t>¥14,070×98.1M</t>
        </is>
      </c>
    </row>
    <row r="27">
      <c r="A27" s="4" t="inlineStr">
        <is>
          <t>对现价</t>
        </is>
      </c>
      <c r="B27" s="14">
        <f>B26/$H$6-1</f>
        <v/>
      </c>
      <c r="C27" s="14">
        <f>C26/$H$6-1</f>
        <v/>
      </c>
      <c r="D27" s="14">
        <f>D26/$H$6-1</f>
        <v/>
      </c>
      <c r="E27" s="4" t="inlineStr"/>
      <c r="F27" s="4" t="n"/>
      <c r="G27" s="4" t="inlineStr">
        <is>
          <t>当时净现金</t>
        </is>
      </c>
      <c r="H27" s="5" t="n">
        <v>2197</v>
      </c>
      <c r="I27" s="4" t="inlineStr">
        <is>
          <t>亿円</t>
        </is>
      </c>
      <c r="J27" s="4" t="inlineStr">
        <is>
          <t>现金−社債</t>
        </is>
      </c>
    </row>
    <row r="28">
      <c r="A28" s="6" t="inlineStr">
        <is>
          <t>D. 参考：扣掉东芝后现价隐含的本业倍数</t>
        </is>
      </c>
      <c r="B28" s="4" t="n"/>
      <c r="C28" s="4" t="n"/>
      <c r="D28" s="4" t="n"/>
      <c r="E28" s="4" t="n"/>
      <c r="F28" s="4" t="n"/>
      <c r="G28" s="4" t="inlineStr">
        <is>
          <t>当时 TTM OP</t>
        </is>
      </c>
      <c r="H28" s="5" t="n">
        <v>923</v>
      </c>
      <c r="I28" s="4" t="inlineStr">
        <is>
          <t>亿円</t>
        </is>
      </c>
      <c r="J28" s="4" t="inlineStr">
        <is>
          <t>Cycle sheet</t>
        </is>
      </c>
    </row>
    <row r="29">
      <c r="A29" s="4" t="inlineStr">
        <is>
          <t>隐含本业 EV</t>
        </is>
      </c>
      <c r="B29" s="10">
        <f>$H$6*$H$7/100-B21-B15</f>
        <v/>
      </c>
      <c r="C29" s="10">
        <f>$H$6*$H$7/100-C21-C15</f>
        <v/>
      </c>
      <c r="D29" s="10">
        <f>$H$6*$H$7/100-D21-D15</f>
        <v/>
      </c>
      <c r="E29" s="4" t="inlineStr">
        <is>
          <t>市值 − 东芝份额 − 净现金</t>
        </is>
      </c>
      <c r="F29" s="4" t="n"/>
      <c r="G29" s="15" t="inlineStr">
        <is>
          <t>峰值 EV/OP（派生）</t>
        </is>
      </c>
      <c r="H29" s="8">
        <f>(H26-H27)/H28</f>
        <v/>
      </c>
      <c r="I29" s="4" t="inlineStr">
        <is>
          <t>x</t>
        </is>
      </c>
      <c r="J29" s="4" t="inlineStr">
        <is>
          <t>(市值−净现金)÷OP</t>
        </is>
      </c>
    </row>
    <row r="30">
      <c r="A30" s="4" t="inlineStr">
        <is>
          <t>隐含 EV/EBITDA（FY3/28）</t>
        </is>
      </c>
      <c r="B30" s="12">
        <f>B29/(B$5+$H$12)</f>
        <v/>
      </c>
      <c r="C30" s="12">
        <f>C29/(C$5+$H$12)</f>
        <v/>
      </c>
      <c r="D30" s="12">
        <f>D29/(D$5+$H$12)</f>
        <v/>
      </c>
      <c r="E30" s="4" t="inlineStr">
        <is>
          <t>D&amp;A 持平</t>
        </is>
      </c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</sheetData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140" customWidth="1" min="2" max="2"/>
  </cols>
  <sheetData>
    <row r="1">
      <c r="A1" s="16" t="inlineStr">
        <is>
          <t>项目</t>
        </is>
      </c>
      <c r="B1" s="16" t="inlineStr">
        <is>
          <t>完整来源 / 说明</t>
        </is>
      </c>
    </row>
    <row r="2">
      <c r="A2" t="inlineStr">
        <is>
          <t>FY3/28 OP</t>
        </is>
      </c>
      <c r="B2" t="inlineStr">
        <is>
          <t>自有三档 800/1,000/1,200。参照：公司指引 FY3/27 300；QUICK cons FY3/27 497；卖方 FY3/28 日興 810 / 野村 750 / GS 1,005 / JPM 1,157 / BofA 932 / Citi 750</t>
        </is>
      </c>
    </row>
    <row r="3">
      <c r="A3" t="inlineStr">
        <is>
          <t>本业 EV/OP</t>
        </is>
      </c>
      <c r="B3" t="inlineStr">
        <is>
          <t>Base 11.6x = 2023 峰值核心 EV 1.16 兆 ÷ OP 1,000（峰值估值不随 OP 扩张，见顶倍数下降）；Bull = 2023 峰值 EV/OP 12.58x；Bear 9x ≈ 历史景气年 EV/EBITDA 6x</t>
        </is>
      </c>
    </row>
    <row r="4">
      <c r="A4" t="inlineStr">
        <is>
          <t>东芝 EBITDA</t>
        </is>
      </c>
      <c r="B4" t="inlineStr">
        <is>
          <t>东芝 2026 年度 1Q 决算（8/7）：1Q EBITDA 1,365（去年 652）。Bear = 指引 OP 3,800 + FY3/26 D&amp;A 1,810；Base/Bull = FY3/26 实绩 4,818 + 每季 +713 × 4</t>
        </is>
      </c>
    </row>
    <row r="5">
      <c r="A5" t="inlineStr">
        <is>
          <t>东芝本业倍数</t>
        </is>
      </c>
      <c r="B5" t="inlineStr">
        <is>
          <t>9.4x = TOB 时东芝本业 EV 1.70 兆 ÷ 当时 EBITDA 1,800（Pitch/Rohm/Rohm_SOTP.xlsx）；换成今天的 EBITDA，TOB 价只相当于 2.2–3.0x。13x = 假设</t>
        </is>
      </c>
    </row>
    <row r="6">
      <c r="A6" t="inlineStr">
        <is>
          <t>东芝本业折价</t>
        </is>
      </c>
      <c r="B6" t="inlineStr">
        <is>
          <t>少数股权 LP、无流动性 −15% × 到最早 FY28 再上市的时间价值 −15% ≈ 0.70；Bull 0.85 = 再上市后</t>
        </is>
      </c>
    </row>
    <row r="7">
      <c r="A7" t="inlineStr">
        <is>
          <t>Kioxia 折价</t>
        </is>
      </c>
      <c r="B7" t="inlineStr">
        <is>
          <t>Kioxia 周期不确定 + 再上市前时间长 → 0.5（日興同样按 50% 计入东芝整体）</t>
        </is>
      </c>
    </row>
    <row r="8">
      <c r="A8" t="inlineStr">
        <is>
          <t>CB</t>
        </is>
      </c>
      <c r="B8" t="inlineStr">
        <is>
          <t>2024-04-08 发行公告 / 2024-05-09 补充资料：2029 年到期 ¥3,063、2031 年到期 ¥2,943；150% 转股限制（¥4,594.5 / ¥4,414.5），面值现金结算条款。1Q 短信基本 EPS 23.33 vs 潜在调整后 19.90 → 转股价未调整</t>
        </is>
      </c>
    </row>
    <row r="9">
      <c r="A9" t="inlineStr">
        <is>
          <t>ROHM 持东芝</t>
        </is>
      </c>
      <c r="B9" t="inlineStr">
        <is>
          <t>IR 面谈 2026-09-03「15% 弱」；日興用 14%、JPM 用「15% 弱」</t>
        </is>
      </c>
    </row>
    <row r="10">
      <c r="A10" t="inlineStr">
        <is>
          <t>东芝 Kioxia 成本</t>
        </is>
      </c>
      <c r="B10" t="inlineStr">
        <is>
          <t>⚠️凭记忆：2018 年再投入约 3,505 亿换约 40.2%，按比例折到 12.84%；未核原文</t>
        </is>
      </c>
    </row>
    <row r="11">
      <c r="A11" t="inlineStr">
        <is>
          <t>东芝净负债调整</t>
        </is>
      </c>
      <c r="B11" t="inlineStr">
        <is>
          <t>⚠️估算：原净负债 / 优先股 −5,000 + 5/11 以后卖 Kioxia 的税后现金约 +7,300（按报告间隔日均价估算）</t>
        </is>
      </c>
    </row>
    <row r="12">
      <c r="A12" t="inlineStr">
        <is>
          <t>税</t>
        </is>
      </c>
      <c r="B12" t="inlineStr">
        <is>
          <t>法定实效税率 30.6%；税后 = V − t × (V − 成本)。Kioxia 双重课税（东芝层 + ROHM 层）</t>
        </is>
      </c>
    </row>
    <row r="13">
      <c r="A13" t="inlineStr">
        <is>
          <t>净现金</t>
        </is>
      </c>
      <c r="B13" t="inlineStr">
        <is>
          <t>2026-06 末：现金 4,559 − 社債 2,000（CB）− 短借 1,000 − 長借 1,000。TBJ 优先股 2,000 已于 FY3/26 赎回（投资 CF 赎回收入 2,078、出售益仅 20）</t>
        </is>
      </c>
    </row>
    <row r="14">
      <c r="A14" t="inlineStr">
        <is>
          <t>2023 峰值</t>
        </is>
      </c>
      <c r="B14" t="inlineStr">
        <is>
          <t>2023-07-05 市值 ¥1.381 兆；2023-06 末现金 2,600 − 社債 403；TTM OP 923（Cycle sheet）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2026-09-28T22:32:41Z</dcterms:created>
  <dcterms:modified xmlns:dcterms="http://purl.org/dc/terms/" xmlns:xsi="http://www.w3.org/2001/XMLSchema-instance" xsi:type="dcterms:W3CDTF">2026-09-28T22:32:41Z</dcterms:modified>
</cp:coreProperties>
</file>