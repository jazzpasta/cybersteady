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F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Industry" sheetId="4" state="visible" r:id="rId4"/>
    <sheet xmlns:r="http://schemas.openxmlformats.org/officeDocument/2006/relationships" name="Comp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ebt" sheetId="7" state="visible" r:id="rId7"/>
    <sheet xmlns:r="http://schemas.openxmlformats.org/officeDocument/2006/relationships" name="Customers" sheetId="8" state="visible" r:id="rId8"/>
    <sheet xmlns:r="http://schemas.openxmlformats.org/officeDocument/2006/relationships" name="Cycle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0.0_);[Red](0.0);&quot;–&quot;"/>
    <numFmt numFmtId="165" formatCode="#,##0.0_);[Red](#,##0.0);&quot;–&quot;"/>
    <numFmt numFmtId="166" formatCode="0.0%"/>
    <numFmt numFmtId="167" formatCode="0.00_);[Red](0.00);&quot;–&quot;"/>
    <numFmt numFmtId="168" formatCode="_(* #,##0.0_);_(* (#,##0.0);&quot;OK!&quot;;&quot;ERROR&quot;"/>
    <numFmt numFmtId="169" formatCode="0_);[Red](0);&quot;–&quot;"/>
    <numFmt numFmtId="170" formatCode="0.000"/>
    <numFmt numFmtId="171" formatCode="0.0000"/>
    <numFmt numFmtId="172" formatCode="#,##0_);[Red](#,##0);&quot;–&quot;"/>
    <numFmt numFmtId="173" formatCode="0.0&quot;x&quot;_);[Red](0.0&quot;x&quot;);&quot;–&quot;"/>
    <numFmt numFmtId="174" formatCode="0.00&quot;x&quot;"/>
    <numFmt numFmtId="175" formatCode="0.0&quot;x&quot;"/>
    <numFmt numFmtId="176" formatCode="0.0"/>
    <numFmt numFmtId="177" formatCode="0.0;[Red]-0.0;&quot;OK&quot;"/>
  </numFmts>
  <fonts count="40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10"/>
    </font>
    <font>
      <b val="1"/>
      <sz val="12"/>
    </font>
    <font>
      <name val="Arial"/>
      <b val="1"/>
      <color rgb="00FFFFFF"/>
    </font>
    <font>
      <name val="Arial"/>
      <b val="1"/>
    </font>
    <font>
      <name val="Arial"/>
      <color rgb="001F4FD1"/>
    </font>
    <font>
      <name val="Arial"/>
      <b val="1"/>
      <color rgb="001F2933"/>
    </font>
    <font>
      <name val="Arial"/>
      <color rgb="001F2933"/>
    </font>
    <font>
      <b val="1"/>
      <sz val="11"/>
    </font>
    <font>
      <name val="Arial"/>
      <i val="1"/>
      <color rgb="001F2933"/>
    </font>
    <font>
      <name val="Arial"/>
      <b val="1"/>
      <color rgb="000F7A3D"/>
    </font>
    <font>
      <name val="Arial"/>
      <color rgb="000F7A3D"/>
    </font>
    <font>
      <name val="Arial"/>
      <i val="1"/>
      <color rgb="000F7A3D"/>
    </font>
    <font>
      <color rgb="000F7A3D"/>
    </font>
    <font>
      <i val="1"/>
      <color rgb="00595959"/>
    </font>
    <font>
      <color rgb="000000FF"/>
    </font>
    <font>
      <name val="Arial"/>
      <b val="1"/>
      <color rgb="001F4FD1"/>
    </font>
    <font>
      <name val="Arial"/>
      <b val="1"/>
      <i val="1"/>
      <color rgb="001F2933"/>
    </font>
    <font>
      <b val="1"/>
      <color rgb="001F4FD1"/>
    </font>
    <font>
      <color rgb="001F4FD1"/>
    </font>
    <font>
      <i val="1"/>
      <color rgb="00808080"/>
      <sz val="9"/>
    </font>
    <font>
      <i val="1"/>
    </font>
    <font>
      <i val="1"/>
      <color rgb="00808080"/>
    </font>
    <font>
      <sz val="9"/>
    </font>
    <font>
      <b val="1"/>
      <color rgb="001F4FD1"/>
      <sz val="12"/>
    </font>
    <font>
      <name val="Arial"/>
      <b val="1"/>
      <sz val="14"/>
    </font>
    <font>
      <name val="Arial"/>
      <color theme="1"/>
      <sz val="11"/>
    </font>
    <font>
      <name val="Arial"/>
      <i val="1"/>
      <color rgb="00808080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595959"/>
    </font>
    <font>
      <name val="Arial"/>
      <color rgb="000000FF"/>
    </font>
    <font>
      <name val="Arial"/>
      <i val="1"/>
      <color rgb="00808080"/>
      <sz val="9"/>
    </font>
    <font>
      <name val="Arial"/>
      <i val="1"/>
    </font>
    <font>
      <name val="Arial"/>
      <i val="1"/>
      <color rgb="00808080"/>
    </font>
    <font>
      <name val="Arial"/>
      <b val="1"/>
      <color rgb="001F4FD1"/>
      <sz val="12"/>
    </font>
    <font>
      <name val="Arial"/>
      <sz val="9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00DCE6F4"/>
      </patternFill>
    </fill>
    <fill>
      <patternFill patternType="solid">
        <fgColor rgb="001F3A5F"/>
      </patternFill>
    </fill>
    <fill>
      <patternFill patternType="solid">
        <fgColor rgb="002E5598"/>
      </patternFill>
    </fill>
    <fill>
      <patternFill patternType="solid">
        <fgColor rgb="00DDEBF7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2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0" borderId="0" pivotButton="0" quotePrefix="0" xfId="0"/>
    <xf numFmtId="164" fontId="6" fillId="0" borderId="0" pivotButton="0" quotePrefix="0" xfId="0"/>
    <xf numFmtId="164" fontId="6" fillId="6" borderId="0" pivotButton="0" quotePrefix="0" xfId="0"/>
    <xf numFmtId="0" fontId="4" fillId="3" borderId="0" pivotButton="0" quotePrefix="0" xfId="0"/>
    <xf numFmtId="165" fontId="6" fillId="0" borderId="0" pivotButton="0" quotePrefix="0" xfId="0"/>
    <xf numFmtId="165" fontId="8" fillId="5" borderId="0" pivotButton="0" quotePrefix="0" xfId="0"/>
    <xf numFmtId="165" fontId="7" fillId="0" borderId="0" pivotButton="0" quotePrefix="0" xfId="0"/>
    <xf numFmtId="165" fontId="7" fillId="5" borderId="0" pivotButton="0" quotePrefix="0" xfId="0"/>
    <xf numFmtId="166" fontId="6" fillId="0" borderId="0" pivotButton="0" quotePrefix="0" xfId="0"/>
    <xf numFmtId="0" fontId="30" fillId="0" borderId="0" pivotButton="0" quotePrefix="0" xfId="0"/>
    <xf numFmtId="0" fontId="4" fillId="2" borderId="0" applyAlignment="1" pivotButton="0" quotePrefix="0" xfId="0">
      <alignment horizontal="center"/>
    </xf>
    <xf numFmtId="165" fontId="8" fillId="0" borderId="0" pivotButton="0" quotePrefix="0" xfId="0"/>
    <xf numFmtId="0" fontId="31" fillId="0" borderId="0" pivotButton="0" quotePrefix="0" xfId="0"/>
    <xf numFmtId="164" fontId="10" fillId="0" borderId="0" pivotButton="0" quotePrefix="0" xfId="0"/>
    <xf numFmtId="164" fontId="10" fillId="5" borderId="0" pivotButton="0" quotePrefix="0" xfId="0"/>
    <xf numFmtId="165" fontId="11" fillId="5" borderId="0" pivotButton="0" quotePrefix="0" xfId="0"/>
    <xf numFmtId="165" fontId="12" fillId="5" borderId="0" pivotButton="0" quotePrefix="0" xfId="0"/>
    <xf numFmtId="164" fontId="13" fillId="0" borderId="0" pivotButton="0" quotePrefix="0" xfId="0"/>
    <xf numFmtId="167" fontId="8" fillId="0" borderId="0" pivotButton="0" quotePrefix="0" xfId="0"/>
    <xf numFmtId="167" fontId="7" fillId="5" borderId="0" pivotButton="0" quotePrefix="0" xfId="0"/>
    <xf numFmtId="167" fontId="6" fillId="0" borderId="0" pivotButton="0" quotePrefix="0" xfId="0"/>
    <xf numFmtId="167" fontId="12" fillId="5" borderId="0" pivotButton="0" quotePrefix="0" xfId="0"/>
    <xf numFmtId="167" fontId="12" fillId="0" borderId="0" pivotButton="0" quotePrefix="0" xfId="0"/>
    <xf numFmtId="167" fontId="8" fillId="5" borderId="0" pivotButton="0" quotePrefix="0" xfId="0"/>
    <xf numFmtId="165" fontId="17" fillId="0" borderId="0" pivotButton="0" quotePrefix="0" xfId="0"/>
    <xf numFmtId="168" fontId="8" fillId="0" borderId="0" pivotButton="0" quotePrefix="0" xfId="0"/>
    <xf numFmtId="0" fontId="5" fillId="2" borderId="0" pivotButton="0" quotePrefix="0" xfId="0"/>
    <xf numFmtId="169" fontId="12" fillId="0" borderId="0" pivotButton="0" quotePrefix="0" xfId="0"/>
    <xf numFmtId="169" fontId="32" fillId="5" borderId="0" pivotButton="0" quotePrefix="0" xfId="0"/>
    <xf numFmtId="169" fontId="8" fillId="5" borderId="0" pivotButton="0" quotePrefix="0" xfId="0"/>
    <xf numFmtId="165" fontId="17" fillId="5" borderId="0" pivotButton="0" quotePrefix="0" xfId="0"/>
    <xf numFmtId="165" fontId="12" fillId="0" borderId="0" pivotButton="0" quotePrefix="0" xfId="0"/>
    <xf numFmtId="0" fontId="33" fillId="0" borderId="0" pivotButton="0" quotePrefix="0" xfId="0"/>
    <xf numFmtId="170" fontId="6" fillId="6" borderId="0" pivotButton="0" quotePrefix="0" xfId="0"/>
    <xf numFmtId="169" fontId="6" fillId="6" borderId="0" pivotButton="0" quotePrefix="0" xfId="0"/>
    <xf numFmtId="165" fontId="6" fillId="6" borderId="0" pivotButton="0" quotePrefix="0" xfId="0"/>
    <xf numFmtId="170" fontId="6" fillId="0" borderId="0" pivotButton="0" quotePrefix="0" xfId="0"/>
    <xf numFmtId="3" fontId="6" fillId="6" borderId="0" pivotButton="0" quotePrefix="0" xfId="0"/>
    <xf numFmtId="171" fontId="6" fillId="6" borderId="0" pivotButton="0" quotePrefix="0" xfId="0"/>
    <xf numFmtId="2" fontId="6" fillId="0" borderId="0" pivotButton="0" quotePrefix="0" xfId="0"/>
    <xf numFmtId="164" fontId="18" fillId="0" borderId="0" pivotButton="0" quotePrefix="0" xfId="0"/>
    <xf numFmtId="170" fontId="8" fillId="0" borderId="0" pivotButton="0" quotePrefix="0" xfId="0"/>
    <xf numFmtId="172" fontId="17" fillId="0" borderId="0" pivotButton="0" quotePrefix="0" xfId="0"/>
    <xf numFmtId="172" fontId="6" fillId="0" borderId="0" pivotButton="0" quotePrefix="0" xfId="0"/>
    <xf numFmtId="167" fontId="7" fillId="0" borderId="0" pivotButton="0" quotePrefix="0" xfId="0"/>
    <xf numFmtId="2" fontId="17" fillId="6" borderId="0" pivotButton="0" quotePrefix="0" xfId="0"/>
    <xf numFmtId="167" fontId="11" fillId="0" borderId="0" pivotButton="0" quotePrefix="0" xfId="0"/>
    <xf numFmtId="167" fontId="7" fillId="6" borderId="0" pivotButton="0" quotePrefix="0" xfId="0"/>
    <xf numFmtId="2" fontId="12" fillId="0" borderId="0" pivotButton="0" quotePrefix="0" xfId="0"/>
    <xf numFmtId="0" fontId="26" fillId="2" borderId="0" pivotButton="0" quotePrefix="0" xfId="0"/>
    <xf numFmtId="49" fontId="8" fillId="0" borderId="0" pivotButton="0" quotePrefix="0" xfId="0"/>
    <xf numFmtId="49" fontId="26" fillId="0" borderId="0" pivotButton="0" quotePrefix="0" xfId="0"/>
    <xf numFmtId="0" fontId="29" fillId="0" borderId="0" pivotButton="0" quotePrefix="0" xfId="0"/>
    <xf numFmtId="166" fontId="10" fillId="0" borderId="0" pivotButton="0" quotePrefix="0" xfId="0"/>
    <xf numFmtId="0" fontId="5" fillId="6" borderId="0" pivotButton="0" quotePrefix="0" xfId="0"/>
    <xf numFmtId="172" fontId="17" fillId="6" borderId="0" pivotButton="0" quotePrefix="0" xfId="0"/>
    <xf numFmtId="167" fontId="17" fillId="6" borderId="0" pivotButton="0" quotePrefix="0" xfId="0"/>
    <xf numFmtId="173" fontId="17" fillId="6" borderId="0" pivotButton="0" quotePrefix="0" xfId="0"/>
    <xf numFmtId="164" fontId="17" fillId="6" borderId="0" pivotButton="0" quotePrefix="0" xfId="0"/>
    <xf numFmtId="173" fontId="6" fillId="0" borderId="0" pivotButton="0" quotePrefix="0" xfId="0"/>
    <xf numFmtId="173" fontId="5" fillId="0" borderId="0" pivotButton="0" quotePrefix="0" xfId="0"/>
    <xf numFmtId="164" fontId="5" fillId="0" borderId="0" pivotButton="0" quotePrefix="0" xfId="0"/>
    <xf numFmtId="165" fontId="11" fillId="0" borderId="0" pivotButton="0" quotePrefix="0" xfId="0"/>
    <xf numFmtId="0" fontId="34" fillId="0" borderId="0" pivotButton="0" quotePrefix="0" xfId="0"/>
    <xf numFmtId="164" fontId="27" fillId="6" borderId="0" pivotButton="0" quotePrefix="0" xfId="0"/>
    <xf numFmtId="0" fontId="35" fillId="0" borderId="0" pivotButton="0" quotePrefix="0" xfId="0"/>
    <xf numFmtId="0" fontId="30" fillId="2" borderId="0" pivotButton="0" quotePrefix="0" xfId="0"/>
    <xf numFmtId="174" fontId="12" fillId="0" borderId="0" pivotButton="0" quotePrefix="0" xfId="0"/>
    <xf numFmtId="175" fontId="12" fillId="0" borderId="0" pivotButton="0" quotePrefix="0" xfId="0"/>
    <xf numFmtId="176" fontId="6" fillId="0" borderId="0" pivotButton="0" quotePrefix="0" xfId="0"/>
    <xf numFmtId="172" fontId="12" fillId="0" borderId="0" pivotButton="0" quotePrefix="0" xfId="0"/>
    <xf numFmtId="172" fontId="8" fillId="0" borderId="0" pivotButton="0" quotePrefix="0" xfId="0"/>
    <xf numFmtId="1" fontId="6" fillId="0" borderId="0" pivotButton="0" quotePrefix="0" xfId="0"/>
    <xf numFmtId="176" fontId="8" fillId="0" borderId="0" pivotButton="0" quotePrefix="0" xfId="0"/>
    <xf numFmtId="0" fontId="36" fillId="6" borderId="0" pivotButton="0" quotePrefix="0" xfId="0"/>
    <xf numFmtId="177" fontId="37" fillId="0" borderId="0" pivotButton="0" quotePrefix="0" xfId="0"/>
    <xf numFmtId="168" fontId="8" fillId="0" borderId="0" pivotButton="0" quotePrefix="0" xfId="0"/>
    <xf numFmtId="169" fontId="12" fillId="0" borderId="0" pivotButton="0" quotePrefix="0" xfId="0"/>
    <xf numFmtId="169" fontId="32" fillId="5" borderId="0" pivotButton="0" quotePrefix="0" xfId="0"/>
    <xf numFmtId="169" fontId="8" fillId="5" borderId="0" pivotButton="0" quotePrefix="0" xfId="0"/>
    <xf numFmtId="170" fontId="6" fillId="6" borderId="0" pivotButton="0" quotePrefix="0" xfId="0"/>
    <xf numFmtId="169" fontId="6" fillId="6" borderId="0" pivotButton="0" quotePrefix="0" xfId="0"/>
    <xf numFmtId="170" fontId="6" fillId="0" borderId="0" pivotButton="0" quotePrefix="0" xfId="0"/>
    <xf numFmtId="171" fontId="6" fillId="6" borderId="0" pivotButton="0" quotePrefix="0" xfId="0"/>
    <xf numFmtId="0" fontId="38" fillId="0" borderId="0" pivotButton="0" quotePrefix="0" xfId="0"/>
    <xf numFmtId="170" fontId="8" fillId="0" borderId="0" pivotButton="0" quotePrefix="0" xfId="0"/>
    <xf numFmtId="172" fontId="17" fillId="0" borderId="0" pivotButton="0" quotePrefix="0" xfId="0"/>
    <xf numFmtId="172" fontId="6" fillId="0" borderId="0" pivotButton="0" quotePrefix="0" xfId="0"/>
    <xf numFmtId="172" fontId="19" fillId="6" borderId="0" pivotButton="0" quotePrefix="0" xfId="0"/>
    <xf numFmtId="167" fontId="19" fillId="6" borderId="0" pivotButton="0" quotePrefix="0" xfId="0"/>
    <xf numFmtId="173" fontId="19" fillId="6" borderId="0" pivotButton="0" quotePrefix="0" xfId="0"/>
    <xf numFmtId="164" fontId="19" fillId="6" borderId="0" pivotButton="0" quotePrefix="0" xfId="0"/>
    <xf numFmtId="172" fontId="20" fillId="0" borderId="0" pivotButton="0" quotePrefix="0" xfId="0"/>
    <xf numFmtId="167" fontId="20" fillId="0" borderId="0" pivotButton="0" quotePrefix="0" xfId="0"/>
    <xf numFmtId="173" fontId="20" fillId="0" borderId="0" pivotButton="0" quotePrefix="0" xfId="0"/>
    <xf numFmtId="164" fontId="20" fillId="0" borderId="0" pivotButton="0" quotePrefix="0" xfId="0"/>
    <xf numFmtId="173" fontId="5" fillId="0" borderId="0" pivotButton="0" quotePrefix="0" xfId="0"/>
    <xf numFmtId="172" fontId="19" fillId="0" borderId="0" pivotButton="0" quotePrefix="0" xfId="0"/>
    <xf numFmtId="0" fontId="39" fillId="0" borderId="0" pivotButton="0" quotePrefix="0" xfId="0"/>
    <xf numFmtId="173" fontId="27" fillId="0" borderId="0" pivotButton="0" quotePrefix="0" xfId="0"/>
    <xf numFmtId="0" fontId="22" fillId="0" borderId="0" pivotButton="0" quotePrefix="0" xfId="0"/>
    <xf numFmtId="172" fontId="12" fillId="0" borderId="0" pivotButton="0" quotePrefix="0" xfId="0"/>
    <xf numFmtId="172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Meidensha 65080 — Drivers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BLUE = input/actual; BLACK = same-sheet formula; GREEN = cross-sheet; YELLOW bg = forecast cell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4" t="inlineStr">
        <is>
          <t>1. Sales QoQ Growth Assumptions (%) — adjust to flex PL forecast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n"/>
      <c r="B5" s="5" t="inlineStr">
        <is>
          <t>FY24Q1</t>
        </is>
      </c>
      <c r="C5" s="5" t="inlineStr">
        <is>
          <t>FY24Q2</t>
        </is>
      </c>
      <c r="D5" s="5" t="inlineStr">
        <is>
          <t>FY24Q3</t>
        </is>
      </c>
      <c r="E5" s="5" t="inlineStr">
        <is>
          <t>FY24Q4</t>
        </is>
      </c>
      <c r="F5" s="5" t="inlineStr">
        <is>
          <t>FY25Q1</t>
        </is>
      </c>
      <c r="G5" s="5" t="inlineStr">
        <is>
          <t>FY25Q2</t>
        </is>
      </c>
      <c r="H5" s="5" t="inlineStr">
        <is>
          <t>FY25Q3</t>
        </is>
      </c>
      <c r="I5" s="5" t="inlineStr">
        <is>
          <t>FY25Q4</t>
        </is>
      </c>
      <c r="J5" s="5" t="inlineStr">
        <is>
          <t>FY26Q1</t>
        </is>
      </c>
      <c r="K5" s="6" t="inlineStr">
        <is>
          <t>FY26Q2</t>
        </is>
      </c>
      <c r="L5" s="6" t="inlineStr">
        <is>
          <t>FY26Q3</t>
        </is>
      </c>
      <c r="M5" s="6" t="inlineStr">
        <is>
          <t>FY26Q4</t>
        </is>
      </c>
      <c r="N5" s="6" t="inlineStr">
        <is>
          <t>FY27Q1</t>
        </is>
      </c>
      <c r="O5" s="6" t="inlineStr">
        <is>
          <t>FY27Q2</t>
        </is>
      </c>
      <c r="P5" s="6" t="inlineStr">
        <is>
          <t>FY27Q3</t>
        </is>
      </c>
      <c r="Q5" s="6" t="inlineStr">
        <is>
          <t>FY27Q4</t>
        </is>
      </c>
      <c r="R5" s="6" t="inlineStr">
        <is>
          <t>FY28Q1</t>
        </is>
      </c>
      <c r="S5" s="2" t="n"/>
      <c r="T5" s="2" t="n"/>
      <c r="U5" s="5" t="inlineStr">
        <is>
          <t>FY24</t>
        </is>
      </c>
      <c r="V5" s="5" t="inlineStr">
        <is>
          <t>FY25</t>
        </is>
      </c>
      <c r="W5" s="7" t="inlineStr">
        <is>
          <t>FY26</t>
        </is>
      </c>
      <c r="X5" s="7" t="inlineStr">
        <is>
          <t>FY27</t>
        </is>
      </c>
      <c r="Y5" s="7" t="inlineStr">
        <is>
          <t>FY28</t>
        </is>
      </c>
    </row>
    <row r="6">
      <c r="A6" s="8" t="inlineStr">
        <is>
          <t>Power_Infrastructure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9" t="n">
        <v>11.14</v>
      </c>
      <c r="L6" s="9" t="n">
        <v>-4.05</v>
      </c>
      <c r="M6" s="9" t="n">
        <v>68.25</v>
      </c>
      <c r="N6" s="9" t="n">
        <v>-40</v>
      </c>
      <c r="O6" s="9" t="n">
        <v>11.14</v>
      </c>
      <c r="P6" s="9" t="n">
        <v>-4.05</v>
      </c>
      <c r="Q6" s="9" t="n">
        <v>68.25</v>
      </c>
      <c r="R6" s="9" t="n">
        <v>-40</v>
      </c>
      <c r="S6" s="2" t="n"/>
      <c r="T6" s="2" t="n"/>
      <c r="U6" s="2" t="n"/>
      <c r="V6" s="2" t="n"/>
      <c r="W6" s="2" t="n"/>
      <c r="X6" s="2" t="n"/>
      <c r="Y6" s="2" t="n"/>
    </row>
    <row r="7">
      <c r="A7" s="8" t="inlineStr">
        <is>
          <t>Social_Systems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9" t="n">
        <v>11.14</v>
      </c>
      <c r="L7" s="9" t="n">
        <v>-4.05</v>
      </c>
      <c r="M7" s="9" t="n">
        <v>68.25</v>
      </c>
      <c r="N7" s="9" t="n">
        <v>-40</v>
      </c>
      <c r="O7" s="9" t="n">
        <v>11.14</v>
      </c>
      <c r="P7" s="9" t="n">
        <v>-4.05</v>
      </c>
      <c r="Q7" s="9" t="n">
        <v>68.25</v>
      </c>
      <c r="R7" s="9" t="n">
        <v>-40</v>
      </c>
      <c r="S7" s="2" t="n"/>
      <c r="T7" s="2" t="n"/>
      <c r="U7" s="2" t="n"/>
      <c r="V7" s="2" t="n"/>
      <c r="W7" s="2" t="n"/>
      <c r="X7" s="2" t="n"/>
      <c r="Y7" s="2" t="n"/>
    </row>
    <row r="8">
      <c r="A8" s="8" t="inlineStr">
        <is>
          <t>Industrial_Mobility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9" t="n">
        <v>11.14</v>
      </c>
      <c r="L8" s="9" t="n">
        <v>-4.05</v>
      </c>
      <c r="M8" s="9" t="n">
        <v>68.25</v>
      </c>
      <c r="N8" s="9" t="n">
        <v>-40</v>
      </c>
      <c r="O8" s="9" t="n">
        <v>11.14</v>
      </c>
      <c r="P8" s="9" t="n">
        <v>-4.05</v>
      </c>
      <c r="Q8" s="9" t="n">
        <v>68.25</v>
      </c>
      <c r="R8" s="9" t="n">
        <v>-40</v>
      </c>
      <c r="S8" s="2" t="n"/>
      <c r="T8" s="2" t="n"/>
      <c r="U8" s="2" t="n"/>
      <c r="V8" s="2" t="n"/>
      <c r="W8" s="2" t="n"/>
      <c r="X8" s="2" t="n"/>
      <c r="Y8" s="2" t="n"/>
    </row>
    <row r="9">
      <c r="A9" s="8" t="inlineStr">
        <is>
          <t>Field_Engineering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9" t="n">
        <v>11.14</v>
      </c>
      <c r="L9" s="9" t="n">
        <v>-4.05</v>
      </c>
      <c r="M9" s="9" t="n">
        <v>68.25</v>
      </c>
      <c r="N9" s="9" t="n">
        <v>-40</v>
      </c>
      <c r="O9" s="9" t="n">
        <v>11.14</v>
      </c>
      <c r="P9" s="9" t="n">
        <v>-4.05</v>
      </c>
      <c r="Q9" s="9" t="n">
        <v>68.25</v>
      </c>
      <c r="R9" s="9" t="n">
        <v>-40</v>
      </c>
      <c r="S9" s="2" t="n"/>
      <c r="T9" s="2" t="n"/>
      <c r="U9" s="2" t="n"/>
      <c r="V9" s="2" t="n"/>
      <c r="W9" s="2" t="n"/>
      <c r="X9" s="2" t="n"/>
      <c r="Y9" s="2" t="n"/>
    </row>
    <row r="10">
      <c r="A10" s="8" t="inlineStr">
        <is>
          <t>Real_Estate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9" t="n">
        <v>11.14</v>
      </c>
      <c r="L10" s="9" t="n">
        <v>-4.05</v>
      </c>
      <c r="M10" s="9" t="n">
        <v>68.25</v>
      </c>
      <c r="N10" s="9" t="n">
        <v>-40</v>
      </c>
      <c r="O10" s="9" t="n">
        <v>11.14</v>
      </c>
      <c r="P10" s="9" t="n">
        <v>-4.05</v>
      </c>
      <c r="Q10" s="9" t="n">
        <v>68.25</v>
      </c>
      <c r="R10" s="9" t="n">
        <v>-40</v>
      </c>
      <c r="S10" s="2" t="n"/>
      <c r="T10" s="2" t="n"/>
      <c r="U10" s="2" t="n"/>
      <c r="V10" s="2" t="n"/>
      <c r="W10" s="2" t="n"/>
      <c r="X10" s="2" t="n"/>
      <c r="Y10" s="2" t="n"/>
    </row>
    <row r="11">
      <c r="A11" s="8" t="inlineStr">
        <is>
          <t>Other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9" t="n">
        <v>11.14</v>
      </c>
      <c r="L11" s="9" t="n">
        <v>-4.05</v>
      </c>
      <c r="M11" s="9" t="n">
        <v>68.25</v>
      </c>
      <c r="N11" s="9" t="n">
        <v>-40</v>
      </c>
      <c r="O11" s="9" t="n">
        <v>11.14</v>
      </c>
      <c r="P11" s="9" t="n">
        <v>-4.05</v>
      </c>
      <c r="Q11" s="9" t="n">
        <v>68.25</v>
      </c>
      <c r="R11" s="9" t="n">
        <v>-40</v>
      </c>
      <c r="S11" s="2" t="n"/>
      <c r="T11" s="2" t="n"/>
      <c r="U11" s="2" t="n"/>
      <c r="V11" s="2" t="n"/>
      <c r="W11" s="2" t="n"/>
      <c r="X11" s="2" t="n"/>
      <c r="Y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8" t="inlineStr">
        <is>
          <t>Consolidated OPM (%) — drives OP (Sales × OPM)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10" t="n">
        <v>4.09</v>
      </c>
      <c r="L13" s="10" t="n">
        <v>5.63</v>
      </c>
      <c r="M13" s="10" t="n">
        <v>15.63</v>
      </c>
      <c r="N13" s="10" t="n">
        <v>5.5</v>
      </c>
      <c r="O13" s="10" t="n">
        <v>5</v>
      </c>
      <c r="P13" s="10" t="n">
        <v>6</v>
      </c>
      <c r="Q13" s="10" t="n">
        <v>16</v>
      </c>
      <c r="R13" s="10" t="n">
        <v>5.5</v>
      </c>
      <c r="S13" s="2" t="n"/>
      <c r="T13" s="2" t="n"/>
      <c r="U13" s="2" t="n"/>
      <c r="V13" s="2" t="n"/>
      <c r="W13" s="2" t="n"/>
      <c r="X13" s="2" t="n"/>
      <c r="Y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4" t="inlineStr">
        <is>
          <t>2. Sales by Segment (億円) — historical actuals from deck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11" t="inlineStr"/>
      <c r="B16" s="5" t="inlineStr">
        <is>
          <t>FY24Q1</t>
        </is>
      </c>
      <c r="C16" s="5" t="inlineStr">
        <is>
          <t>FY24Q2</t>
        </is>
      </c>
      <c r="D16" s="5" t="inlineStr">
        <is>
          <t>FY24Q3</t>
        </is>
      </c>
      <c r="E16" s="5" t="inlineStr">
        <is>
          <t>FY24Q4</t>
        </is>
      </c>
      <c r="F16" s="5" t="inlineStr">
        <is>
          <t>FY25Q1</t>
        </is>
      </c>
      <c r="G16" s="5" t="inlineStr">
        <is>
          <t>FY25Q2</t>
        </is>
      </c>
      <c r="H16" s="5" t="inlineStr">
        <is>
          <t>FY25Q3</t>
        </is>
      </c>
      <c r="I16" s="5" t="inlineStr">
        <is>
          <t>FY25Q4</t>
        </is>
      </c>
      <c r="J16" s="5" t="inlineStr">
        <is>
          <t>FY26Q1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5" t="inlineStr">
        <is>
          <t>FY24</t>
        </is>
      </c>
      <c r="V16" s="5" t="inlineStr">
        <is>
          <t>FY25</t>
        </is>
      </c>
      <c r="W16" s="7" t="inlineStr">
        <is>
          <t>FY26</t>
        </is>
      </c>
      <c r="X16" s="2" t="n"/>
      <c r="Y16" s="2" t="n"/>
    </row>
    <row r="17">
      <c r="A17" s="8" t="inlineStr">
        <is>
          <t>Power_Infrastructure</t>
        </is>
      </c>
      <c r="B17" s="2" t="n"/>
      <c r="C17" s="2" t="n"/>
      <c r="D17" s="2" t="n"/>
      <c r="E17" s="12" t="n">
        <v>864.37</v>
      </c>
      <c r="F17" s="2" t="n"/>
      <c r="G17" s="2" t="n"/>
      <c r="H17" s="2" t="n"/>
      <c r="I17" s="12" t="n">
        <v>1008.44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13">
        <f>IF(COUNT(B17:E17)=0,"",SUM(B17:E17))</f>
        <v/>
      </c>
      <c r="V17" s="13">
        <f>IF(COUNT(F17:I17)=0,"",SUM(F17:I17))</f>
        <v/>
      </c>
      <c r="W17" s="13">
        <f>IF(COUNT(J17:M17)=0,"",SUM(J17:M17))</f>
        <v/>
      </c>
      <c r="X17" s="13">
        <f>IF(COUNT(N17:Q17)=0,"",SUM(N17:Q17))</f>
        <v/>
      </c>
      <c r="Y17" s="13">
        <f>IF(COUNT(R17:R17)=0,"",SUM(R17:R17))</f>
        <v/>
      </c>
    </row>
    <row r="18">
      <c r="A18" s="8" t="inlineStr">
        <is>
          <t>Social_Systems</t>
        </is>
      </c>
      <c r="B18" s="2" t="n"/>
      <c r="C18" s="2" t="n"/>
      <c r="D18" s="2" t="n"/>
      <c r="E18" s="12" t="n">
        <v>963.23</v>
      </c>
      <c r="F18" s="2" t="n"/>
      <c r="G18" s="2" t="n"/>
      <c r="H18" s="2" t="n"/>
      <c r="I18" s="12" t="n">
        <v>1045.55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13">
        <f>IF(COUNT(B18:E18)=0,"",SUM(B18:E18))</f>
        <v/>
      </c>
      <c r="V18" s="13">
        <f>IF(COUNT(F18:I18)=0,"",SUM(F18:I18))</f>
        <v/>
      </c>
      <c r="W18" s="13">
        <f>IF(COUNT(J18:M18)=0,"",SUM(J18:M18))</f>
        <v/>
      </c>
      <c r="X18" s="13">
        <f>IF(COUNT(N18:Q18)=0,"",SUM(N18:Q18))</f>
        <v/>
      </c>
      <c r="Y18" s="13">
        <f>IF(COUNT(R18:R18)=0,"",SUM(R18:R18))</f>
        <v/>
      </c>
    </row>
    <row r="19">
      <c r="A19" s="8" t="inlineStr">
        <is>
          <t>Industrial_Mobility</t>
        </is>
      </c>
      <c r="B19" s="2" t="n"/>
      <c r="C19" s="2" t="n"/>
      <c r="D19" s="2" t="n"/>
      <c r="E19" s="12" t="n">
        <v>720.79</v>
      </c>
      <c r="F19" s="2" t="n"/>
      <c r="G19" s="2" t="n"/>
      <c r="H19" s="2" t="n"/>
      <c r="I19" s="12" t="n">
        <v>693.08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13">
        <f>IF(COUNT(B19:E19)=0,"",SUM(B19:E19))</f>
        <v/>
      </c>
      <c r="V19" s="13">
        <f>IF(COUNT(F19:I19)=0,"",SUM(F19:I19))</f>
        <v/>
      </c>
      <c r="W19" s="13">
        <f>IF(COUNT(J19:M19)=0,"",SUM(J19:M19))</f>
        <v/>
      </c>
      <c r="X19" s="13">
        <f>IF(COUNT(N19:Q19)=0,"",SUM(N19:Q19))</f>
        <v/>
      </c>
      <c r="Y19" s="13">
        <f>IF(COUNT(R19:R19)=0,"",SUM(R19:R19))</f>
        <v/>
      </c>
    </row>
    <row r="20">
      <c r="A20" s="8" t="inlineStr">
        <is>
          <t>Field_Engineering</t>
        </is>
      </c>
      <c r="B20" s="2" t="n"/>
      <c r="C20" s="2" t="n"/>
      <c r="D20" s="2" t="n"/>
      <c r="E20" s="12" t="n">
        <v>495.67</v>
      </c>
      <c r="F20" s="2" t="n"/>
      <c r="G20" s="2" t="n"/>
      <c r="H20" s="2" t="n"/>
      <c r="I20" s="12" t="n">
        <v>570.0700000000001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13">
        <f>IF(COUNT(B20:E20)=0,"",SUM(B20:E20))</f>
        <v/>
      </c>
      <c r="V20" s="13">
        <f>IF(COUNT(F20:I20)=0,"",SUM(F20:I20))</f>
        <v/>
      </c>
      <c r="W20" s="13">
        <f>IF(COUNT(J20:M20)=0,"",SUM(J20:M20))</f>
        <v/>
      </c>
      <c r="X20" s="13">
        <f>IF(COUNT(N20:Q20)=0,"",SUM(N20:Q20))</f>
        <v/>
      </c>
      <c r="Y20" s="13">
        <f>IF(COUNT(R20:R20)=0,"",SUM(R20:R20))</f>
        <v/>
      </c>
    </row>
    <row r="21">
      <c r="A21" s="8" t="inlineStr">
        <is>
          <t>Real_Estate</t>
        </is>
      </c>
      <c r="B21" s="2" t="n"/>
      <c r="C21" s="2" t="n"/>
      <c r="D21" s="2" t="n"/>
      <c r="E21" s="12" t="n">
        <v>32.35</v>
      </c>
      <c r="F21" s="2" t="n"/>
      <c r="G21" s="2" t="n"/>
      <c r="H21" s="2" t="n"/>
      <c r="I21" s="12" t="n">
        <v>32.33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13">
        <f>IF(COUNT(B21:E21)=0,"",SUM(B21:E21))</f>
        <v/>
      </c>
      <c r="V21" s="13">
        <f>IF(COUNT(F21:I21)=0,"",SUM(F21:I21))</f>
        <v/>
      </c>
      <c r="W21" s="13">
        <f>IF(COUNT(J21:M21)=0,"",SUM(J21:M21))</f>
        <v/>
      </c>
      <c r="X21" s="13">
        <f>IF(COUNT(N21:Q21)=0,"",SUM(N21:Q21))</f>
        <v/>
      </c>
      <c r="Y21" s="13">
        <f>IF(COUNT(R21:R21)=0,"",SUM(R21:R21))</f>
        <v/>
      </c>
    </row>
    <row r="22">
      <c r="A22" s="8" t="inlineStr">
        <is>
          <t>Other</t>
        </is>
      </c>
      <c r="B22" s="2" t="n"/>
      <c r="C22" s="2" t="n"/>
      <c r="D22" s="2" t="n"/>
      <c r="E22" s="12" t="n">
        <v>86.72</v>
      </c>
      <c r="F22" s="2" t="n"/>
      <c r="G22" s="2" t="n"/>
      <c r="H22" s="2" t="n"/>
      <c r="I22" s="12" t="n">
        <v>89.2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13">
        <f>IF(COUNT(B22:E22)=0,"",SUM(B22:E22))</f>
        <v/>
      </c>
      <c r="V22" s="13">
        <f>IF(COUNT(F22:I22)=0,"",SUM(F22:I22))</f>
        <v/>
      </c>
      <c r="W22" s="13">
        <f>IF(COUNT(J22:M22)=0,"",SUM(J22:M22))</f>
        <v/>
      </c>
      <c r="X22" s="13">
        <f>IF(COUNT(N22:Q22)=0,"",SUM(N22:Q22))</f>
        <v/>
      </c>
      <c r="Y22" s="13">
        <f>IF(COUNT(R22:R22)=0,"",SUM(R22:R22))</f>
        <v/>
      </c>
    </row>
    <row r="23">
      <c r="A23" s="8" t="inlineStr">
        <is>
          <t>TOTAL</t>
        </is>
      </c>
      <c r="B23" s="14">
        <f>SUM(B17:B22)</f>
        <v/>
      </c>
      <c r="C23" s="14">
        <f>SUM(C17:C22)</f>
        <v/>
      </c>
      <c r="D23" s="14">
        <f>SUM(D17:D22)</f>
        <v/>
      </c>
      <c r="E23" s="14">
        <f>SUM(E17:E22)</f>
        <v/>
      </c>
      <c r="F23" s="14">
        <f>SUM(F17:F22)</f>
        <v/>
      </c>
      <c r="G23" s="14">
        <f>SUM(G17:G22)</f>
        <v/>
      </c>
      <c r="H23" s="14">
        <f>SUM(H17:H22)</f>
        <v/>
      </c>
      <c r="I23" s="14">
        <f>SUM(I17:I22)</f>
        <v/>
      </c>
      <c r="J23" s="14">
        <f>SUM(J17:J22)</f>
        <v/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15">
        <f>IF(COUNT(B23:E23)=0,"",SUM(B23:E23))</f>
        <v/>
      </c>
      <c r="V23" s="15">
        <f>IF(COUNT(F23:I23)=0,"",SUM(F23:I23))</f>
        <v/>
      </c>
      <c r="W23" s="15">
        <f>IF(COUNT(J23:M23)=0,"",SUM(J23:M23))</f>
        <v/>
      </c>
      <c r="X23" s="15">
        <f>IF(COUNT(N23:Q23)=0,"",SUM(N23:Q23))</f>
        <v/>
      </c>
      <c r="Y23" s="15">
        <f>IF(COUNT(R23:R23)=0,"",SUM(R23:R23))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8" t="inlineStr">
        <is>
          <t xml:space="preserve">   ↳ Segment OP (factbook 営業利益, 億)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Power_Infrastructure OP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13">
        <f>IF(COUNT(B26:E26)=0,"",SUM(B26:E26))</f>
        <v/>
      </c>
      <c r="V26" s="13">
        <f>IF(COUNT(F26:I26)=0,"",SUM(F26:I26))</f>
        <v/>
      </c>
      <c r="W26" s="13">
        <f>IF(COUNT(J26:M26)=0,"",SUM(J26:M26))</f>
        <v/>
      </c>
      <c r="X26" s="13">
        <f>IF(COUNT(N26:Q26)=0,"",SUM(N26:Q26))</f>
        <v/>
      </c>
      <c r="Y26" s="13">
        <f>IF(COUNT(R26:R26)=0,"",SUM(R26:R26))</f>
        <v/>
      </c>
    </row>
    <row r="27">
      <c r="A27" s="2" t="inlineStr">
        <is>
          <t>Social_Systems OP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13">
        <f>IF(COUNT(B27:E27)=0,"",SUM(B27:E27))</f>
        <v/>
      </c>
      <c r="V27" s="13">
        <f>IF(COUNT(F27:I27)=0,"",SUM(F27:I27))</f>
        <v/>
      </c>
      <c r="W27" s="13">
        <f>IF(COUNT(J27:M27)=0,"",SUM(J27:M27))</f>
        <v/>
      </c>
      <c r="X27" s="13">
        <f>IF(COUNT(N27:Q27)=0,"",SUM(N27:Q27))</f>
        <v/>
      </c>
      <c r="Y27" s="13">
        <f>IF(COUNT(R27:R27)=0,"",SUM(R27:R27))</f>
        <v/>
      </c>
    </row>
    <row r="28">
      <c r="A28" s="2" t="inlineStr">
        <is>
          <t>Industrial_Mobility OP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13">
        <f>IF(COUNT(B28:E28)=0,"",SUM(B28:E28))</f>
        <v/>
      </c>
      <c r="V28" s="13">
        <f>IF(COUNT(F28:I28)=0,"",SUM(F28:I28))</f>
        <v/>
      </c>
      <c r="W28" s="13">
        <f>IF(COUNT(J28:M28)=0,"",SUM(J28:M28))</f>
        <v/>
      </c>
      <c r="X28" s="13">
        <f>IF(COUNT(N28:Q28)=0,"",SUM(N28:Q28))</f>
        <v/>
      </c>
      <c r="Y28" s="13">
        <f>IF(COUNT(R28:R28)=0,"",SUM(R28:R28))</f>
        <v/>
      </c>
    </row>
    <row r="29">
      <c r="A29" s="2" t="inlineStr">
        <is>
          <t>Field_Engineering OP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13">
        <f>IF(COUNT(B29:E29)=0,"",SUM(B29:E29))</f>
        <v/>
      </c>
      <c r="V29" s="13">
        <f>IF(COUNT(F29:I29)=0,"",SUM(F29:I29))</f>
        <v/>
      </c>
      <c r="W29" s="13">
        <f>IF(COUNT(J29:M29)=0,"",SUM(J29:M29))</f>
        <v/>
      </c>
      <c r="X29" s="13">
        <f>IF(COUNT(N29:Q29)=0,"",SUM(N29:Q29))</f>
        <v/>
      </c>
      <c r="Y29" s="13">
        <f>IF(COUNT(R29:R29)=0,"",SUM(R29:R29))</f>
        <v/>
      </c>
    </row>
    <row r="30">
      <c r="A30" s="2" t="inlineStr">
        <is>
          <t>Real_Estate OP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13">
        <f>IF(COUNT(B30:E30)=0,"",SUM(B30:E30))</f>
        <v/>
      </c>
      <c r="V30" s="13">
        <f>IF(COUNT(F30:I30)=0,"",SUM(F30:I30))</f>
        <v/>
      </c>
      <c r="W30" s="13">
        <f>IF(COUNT(J30:M30)=0,"",SUM(J30:M30))</f>
        <v/>
      </c>
      <c r="X30" s="13">
        <f>IF(COUNT(N30:Q30)=0,"",SUM(N30:Q30))</f>
        <v/>
      </c>
      <c r="Y30" s="13">
        <f>IF(COUNT(R30:R30)=0,"",SUM(R30:R30))</f>
        <v/>
      </c>
    </row>
    <row r="31">
      <c r="A31" s="2" t="inlineStr">
        <is>
          <t>Other OP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13">
        <f>IF(COUNT(B31:E31)=0,"",SUM(B31:E31))</f>
        <v/>
      </c>
      <c r="V31" s="13">
        <f>IF(COUNT(F31:I31)=0,"",SUM(F31:I31))</f>
        <v/>
      </c>
      <c r="W31" s="13">
        <f>IF(COUNT(J31:M31)=0,"",SUM(J31:M31))</f>
        <v/>
      </c>
      <c r="X31" s="13">
        <f>IF(COUNT(N31:Q31)=0,"",SUM(N31:Q31))</f>
        <v/>
      </c>
      <c r="Y31" s="13">
        <f>IF(COUNT(R31:R31)=0,"",SUM(R31:R31))</f>
        <v/>
      </c>
    </row>
    <row r="32">
      <c r="A32" s="8" t="inlineStr">
        <is>
          <t>OP TOTAL (= consolidated)</t>
        </is>
      </c>
      <c r="B32" s="14">
        <f>SUM(B26:B31)</f>
        <v/>
      </c>
      <c r="C32" s="14">
        <f>SUM(C26:C31)</f>
        <v/>
      </c>
      <c r="D32" s="14">
        <f>SUM(D26:D31)</f>
        <v/>
      </c>
      <c r="E32" s="14">
        <f>SUM(E26:E31)</f>
        <v/>
      </c>
      <c r="F32" s="14">
        <f>SUM(F26:F31)</f>
        <v/>
      </c>
      <c r="G32" s="14">
        <f>SUM(G26:G31)</f>
        <v/>
      </c>
      <c r="H32" s="14">
        <f>SUM(H26:H31)</f>
        <v/>
      </c>
      <c r="I32" s="14">
        <f>SUM(I26:I31)</f>
        <v/>
      </c>
      <c r="J32" s="14">
        <f>SUM(J26:J31)</f>
        <v/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15">
        <f>IF(COUNT(B32:E32)=0,"",SUM(B32:E32))</f>
        <v/>
      </c>
      <c r="V32" s="15">
        <f>IF(COUNT(F32:I32)=0,"",SUM(F32:I32))</f>
        <v/>
      </c>
      <c r="W32" s="15">
        <f>IF(COUNT(J32:M32)=0,"",SUM(J32:M32))</f>
        <v/>
      </c>
      <c r="X32" s="15">
        <f>IF(COUNT(N32:Q32)=0,"",SUM(N32:Q32))</f>
        <v/>
      </c>
      <c r="Y32" s="15">
        <f>IF(COUNT(R32:R32)=0,"",SUM(R32:R32))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4" t="inlineStr">
        <is>
          <t>4. Sales by Region (億円)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11" t="inlineStr"/>
      <c r="B35" s="5" t="inlineStr">
        <is>
          <t>FY24Q1</t>
        </is>
      </c>
      <c r="C35" s="5" t="inlineStr">
        <is>
          <t>FY24Q2</t>
        </is>
      </c>
      <c r="D35" s="5" t="inlineStr">
        <is>
          <t>FY24Q3</t>
        </is>
      </c>
      <c r="E35" s="5" t="inlineStr">
        <is>
          <t>FY24Q4</t>
        </is>
      </c>
      <c r="F35" s="5" t="inlineStr">
        <is>
          <t>FY25Q1</t>
        </is>
      </c>
      <c r="G35" s="5" t="inlineStr">
        <is>
          <t>FY25Q2</t>
        </is>
      </c>
      <c r="H35" s="5" t="inlineStr">
        <is>
          <t>FY25Q3</t>
        </is>
      </c>
      <c r="I35" s="5" t="inlineStr">
        <is>
          <t>FY25Q4</t>
        </is>
      </c>
      <c r="J35" s="5" t="inlineStr">
        <is>
          <t>FY26Q1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5" t="inlineStr">
        <is>
          <t>FY24</t>
        </is>
      </c>
      <c r="V35" s="5" t="inlineStr">
        <is>
          <t>FY25</t>
        </is>
      </c>
      <c r="W35" s="7" t="inlineStr">
        <is>
          <t>FY26</t>
        </is>
      </c>
      <c r="X35" s="2" t="n"/>
      <c r="Y35" s="2" t="n"/>
    </row>
    <row r="36">
      <c r="A36" s="2" t="inlineStr">
        <is>
          <t>Japan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13">
        <f>IF(COUNT(B36:E36)=0,"",SUM(B36:E36))</f>
        <v/>
      </c>
      <c r="V36" s="13">
        <f>IF(COUNT(F36:I36)=0,"",SUM(F36:I36))</f>
        <v/>
      </c>
      <c r="W36" s="13">
        <f>IF(COUNT(J36:M36)=0,"",SUM(J36:M36))</f>
        <v/>
      </c>
      <c r="X36" s="13">
        <f>IF(COUNT(N36:Q36)=0,"",SUM(N36:Q36))</f>
        <v/>
      </c>
      <c r="Y36" s="13">
        <f>IF(COUNT(R36:R36)=0,"",SUM(R36:R36))</f>
        <v/>
      </c>
    </row>
    <row r="37">
      <c r="A37" s="2" t="inlineStr">
        <is>
          <t>Asia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13">
        <f>IF(COUNT(B37:E37)=0,"",SUM(B37:E37))</f>
        <v/>
      </c>
      <c r="V37" s="13">
        <f>IF(COUNT(F37:I37)=0,"",SUM(F37:I37))</f>
        <v/>
      </c>
      <c r="W37" s="13">
        <f>IF(COUNT(J37:M37)=0,"",SUM(J37:M37))</f>
        <v/>
      </c>
      <c r="X37" s="13">
        <f>IF(COUNT(N37:Q37)=0,"",SUM(N37:Q37))</f>
        <v/>
      </c>
      <c r="Y37" s="13">
        <f>IF(COUNT(R37:R37)=0,"",SUM(R37:R37))</f>
        <v/>
      </c>
    </row>
    <row r="38">
      <c r="A38" s="2" t="inlineStr">
        <is>
          <t>Other_Overseas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13">
        <f>IF(COUNT(B38:E38)=0,"",SUM(B38:E38))</f>
        <v/>
      </c>
      <c r="V38" s="13">
        <f>IF(COUNT(F38:I38)=0,"",SUM(F38:I38))</f>
        <v/>
      </c>
      <c r="W38" s="13">
        <f>IF(COUNT(J38:M38)=0,"",SUM(J38:M38))</f>
        <v/>
      </c>
      <c r="X38" s="13">
        <f>IF(COUNT(N38:Q38)=0,"",SUM(N38:Q38))</f>
        <v/>
      </c>
      <c r="Y38" s="13">
        <f>IF(COUNT(R38:R38)=0,"",SUM(R38:R38))</f>
        <v/>
      </c>
    </row>
    <row r="39">
      <c r="A39" s="8" t="inlineStr">
        <is>
          <t>TOTAL</t>
        </is>
      </c>
      <c r="B39" s="14">
        <f>SUM(B36:B38)</f>
        <v/>
      </c>
      <c r="C39" s="14">
        <f>SUM(C36:C38)</f>
        <v/>
      </c>
      <c r="D39" s="14">
        <f>SUM(D36:D38)</f>
        <v/>
      </c>
      <c r="E39" s="14">
        <f>SUM(E36:E38)</f>
        <v/>
      </c>
      <c r="F39" s="14">
        <f>SUM(F36:F38)</f>
        <v/>
      </c>
      <c r="G39" s="14">
        <f>SUM(G36:G38)</f>
        <v/>
      </c>
      <c r="H39" s="14">
        <f>SUM(H36:H38)</f>
        <v/>
      </c>
      <c r="I39" s="14">
        <f>SUM(I36:I38)</f>
        <v/>
      </c>
      <c r="J39" s="14">
        <f>SUM(J36:J38)</f>
        <v/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15">
        <f>IF(COUNT(B39:E39)=0,"",SUM(B39:E39))</f>
        <v/>
      </c>
      <c r="V39" s="15">
        <f>IF(COUNT(F39:I39)=0,"",SUM(F39:I39))</f>
        <v/>
      </c>
      <c r="W39" s="15">
        <f>IF(COUNT(J39:M39)=0,"",SUM(J39:M39))</f>
        <v/>
      </c>
      <c r="X39" s="15">
        <f>IF(COUNT(N39:Q39)=0,"",SUM(N39:Q39))</f>
        <v/>
      </c>
      <c r="Y39" s="15">
        <f>IF(COUNT(R39:R39)=0,"",SUM(R39:R39))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4" t="inlineStr">
        <is>
          <t>6. Margin Assumptions (OP = Sales × per-Q consolidated OPM)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8" t="inlineStr">
        <is>
          <t>Per-Segment GPM (reference)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11" t="inlineStr">
        <is>
          <t>Segment</t>
        </is>
      </c>
      <c r="B44" s="11" t="inlineStr">
        <is>
          <t>GPM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Power_Infrastructure</t>
        </is>
      </c>
      <c r="B45" s="16" t="n">
        <v>0.35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Social_Systems</t>
        </is>
      </c>
      <c r="B46" s="16" t="n">
        <v>0.35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Industrial_Mobility</t>
        </is>
      </c>
      <c r="B47" s="16" t="n">
        <v>0.35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Field_Engineering</t>
        </is>
      </c>
      <c r="B48" s="16" t="n">
        <v>0.35</v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Real_Estate</t>
        </is>
      </c>
      <c r="B49" s="16" t="n">
        <v>0.35</v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inlineStr">
        <is>
          <t>Other</t>
        </is>
      </c>
      <c r="B50" s="16" t="n">
        <v>0.35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8" t="inlineStr">
        <is>
          <t>Consolidated SG&amp;A / Sales</t>
        </is>
      </c>
      <c r="B52" s="16" t="n">
        <v>0.2035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AB10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4" customWidth="1" min="27" max="27"/>
    <col width="48" customWidth="1" min="28" max="28"/>
  </cols>
  <sheetData>
    <row r="1">
      <c r="A1" s="17" t="inlineStr">
        <is>
          <t>P&amp;L (億円, EPS in JPY) — BLUE=actual/input, BLACK=formula, GREEN=cross-sheet, ORANGE=guide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11" t="inlineStr">
        <is>
          <t>Line Item</t>
        </is>
      </c>
      <c r="B3" s="5" t="inlineStr">
        <is>
          <t>FY24Q1</t>
        </is>
      </c>
      <c r="C3" s="5" t="inlineStr">
        <is>
          <t>FY24Q2</t>
        </is>
      </c>
      <c r="D3" s="5" t="inlineStr">
        <is>
          <t>FY24Q3</t>
        </is>
      </c>
      <c r="E3" s="5" t="inlineStr">
        <is>
          <t>FY24Q4</t>
        </is>
      </c>
      <c r="F3" s="5" t="inlineStr">
        <is>
          <t>FY25Q1</t>
        </is>
      </c>
      <c r="G3" s="5" t="inlineStr">
        <is>
          <t>FY25Q2</t>
        </is>
      </c>
      <c r="H3" s="5" t="inlineStr">
        <is>
          <t>FY25Q3</t>
        </is>
      </c>
      <c r="I3" s="5" t="inlineStr">
        <is>
          <t>FY25Q4</t>
        </is>
      </c>
      <c r="J3" s="5" t="inlineStr">
        <is>
          <t>FY26Q1</t>
        </is>
      </c>
      <c r="K3" s="6" t="inlineStr">
        <is>
          <t>FY26Q2</t>
        </is>
      </c>
      <c r="L3" s="6" t="inlineStr">
        <is>
          <t>FY26Q3</t>
        </is>
      </c>
      <c r="M3" s="6" t="inlineStr">
        <is>
          <t>FY26Q4</t>
        </is>
      </c>
      <c r="N3" s="6" t="inlineStr">
        <is>
          <t>FY27Q1</t>
        </is>
      </c>
      <c r="O3" s="6" t="inlineStr">
        <is>
          <t>FY27Q2</t>
        </is>
      </c>
      <c r="P3" s="6" t="inlineStr">
        <is>
          <t>FY27Q3</t>
        </is>
      </c>
      <c r="Q3" s="6" t="inlineStr">
        <is>
          <t>FY27Q4</t>
        </is>
      </c>
      <c r="R3" s="6" t="inlineStr">
        <is>
          <t>FY28Q1</t>
        </is>
      </c>
      <c r="S3" s="2" t="n"/>
      <c r="T3" s="2" t="n"/>
      <c r="U3" s="5" t="inlineStr">
        <is>
          <t>FY24</t>
        </is>
      </c>
      <c r="V3" s="5" t="inlineStr">
        <is>
          <t>FY25</t>
        </is>
      </c>
      <c r="W3" s="7" t="inlineStr">
        <is>
          <t>FY26</t>
        </is>
      </c>
      <c r="X3" s="7" t="inlineStr">
        <is>
          <t>FY27</t>
        </is>
      </c>
      <c r="Y3" s="7" t="inlineStr">
        <is>
          <t>FY28</t>
        </is>
      </c>
      <c r="Z3" s="7" t="inlineStr">
        <is>
          <t>FY26 GUIDE</t>
        </is>
      </c>
      <c r="AA3" s="7" t="inlineStr">
        <is>
          <t>Model vs Guide</t>
        </is>
      </c>
      <c r="AB3" s="18" t="inlineStr">
        <is>
          <t>Forecast Formula (plain English)</t>
        </is>
      </c>
    </row>
    <row r="4">
      <c r="A4" s="8" t="inlineStr">
        <is>
          <t>Sales</t>
        </is>
      </c>
      <c r="B4" s="12" t="n">
        <v>549.8</v>
      </c>
      <c r="C4" s="12" t="n">
        <v>651.2</v>
      </c>
      <c r="D4" s="12" t="n">
        <v>709.8</v>
      </c>
      <c r="E4" s="12" t="n">
        <v>1100.2</v>
      </c>
      <c r="F4" s="12" t="n">
        <v>583.9</v>
      </c>
      <c r="G4" s="12" t="n">
        <v>727.5</v>
      </c>
      <c r="H4" s="12" t="n">
        <v>727.1</v>
      </c>
      <c r="I4" s="12" t="n">
        <v>1223.4</v>
      </c>
      <c r="J4" s="12" t="n">
        <v>734.1</v>
      </c>
      <c r="K4" s="13">
        <f>J4*(1+11.14/100)</f>
        <v/>
      </c>
      <c r="L4" s="13">
        <f>K4*(1+-4.05/100)</f>
        <v/>
      </c>
      <c r="M4" s="13">
        <f>L4*(1+68.25/100)</f>
        <v/>
      </c>
      <c r="N4" s="13">
        <f>M4*(1+-40.0/100)</f>
        <v/>
      </c>
      <c r="O4" s="13">
        <f>N4*(1+11.14/100)</f>
        <v/>
      </c>
      <c r="P4" s="13">
        <f>O4*(1+-4.05/100)</f>
        <v/>
      </c>
      <c r="Q4" s="13">
        <f>P4*(1+68.25/100)</f>
        <v/>
      </c>
      <c r="R4" s="13">
        <f>Q4*(1+-40.0/100)</f>
        <v/>
      </c>
      <c r="S4" s="2" t="n"/>
      <c r="T4" s="2" t="n"/>
      <c r="U4" s="15">
        <f>IF(COUNTBLANK(B4:E4)&gt;0,"",SUM(B4:E4))</f>
        <v/>
      </c>
      <c r="V4" s="15">
        <f>IF(COUNTBLANK(F4:I4)&gt;0,"",SUM(F4:I4))</f>
        <v/>
      </c>
      <c r="W4" s="15">
        <f>IF(COUNTBLANK(J4:M4)&gt;0,"",SUM(J4:M4))</f>
        <v/>
      </c>
      <c r="X4" s="15">
        <f>IF(COUNTBLANK(N4:Q4)&gt;0,"",SUM(N4:Q4))</f>
        <v/>
      </c>
      <c r="Y4" s="15">
        <f>IF(COUNTBLANK(R4:R4)&gt;0,"",SUM(R4:R4))</f>
        <v/>
      </c>
      <c r="Z4" s="14" t="n"/>
      <c r="AA4" s="19" t="n"/>
      <c r="AB4" s="20" t="inlineStr">
        <is>
          <t>prior Sales × QoQ growth  (mean of cfg.order_growth_qoq across segments)</t>
        </is>
      </c>
    </row>
    <row r="5">
      <c r="A5" s="8" t="inlineStr">
        <is>
          <t xml:space="preserve">  COGS</t>
        </is>
      </c>
      <c r="B5" s="19">
        <f>B4-B6</f>
        <v/>
      </c>
      <c r="C5" s="19">
        <f>C4-C6</f>
        <v/>
      </c>
      <c r="D5" s="19">
        <f>D4-D6</f>
        <v/>
      </c>
      <c r="E5" s="19">
        <f>E4-E6</f>
        <v/>
      </c>
      <c r="F5" s="19">
        <f>F4-F6</f>
        <v/>
      </c>
      <c r="G5" s="19">
        <f>G4-G6</f>
        <v/>
      </c>
      <c r="H5" s="19">
        <f>H4-H6</f>
        <v/>
      </c>
      <c r="I5" s="19">
        <f>I4-I6</f>
        <v/>
      </c>
      <c r="J5" s="19">
        <f>J4-J6</f>
        <v/>
      </c>
      <c r="K5" s="13">
        <f>K4-K6</f>
        <v/>
      </c>
      <c r="L5" s="13">
        <f>L4-L6</f>
        <v/>
      </c>
      <c r="M5" s="13">
        <f>M4-M6</f>
        <v/>
      </c>
      <c r="N5" s="13">
        <f>N4-N6</f>
        <v/>
      </c>
      <c r="O5" s="13">
        <f>O4-O6</f>
        <v/>
      </c>
      <c r="P5" s="13">
        <f>P4-P6</f>
        <v/>
      </c>
      <c r="Q5" s="13">
        <f>Q4-Q6</f>
        <v/>
      </c>
      <c r="R5" s="13">
        <f>R4-R6</f>
        <v/>
      </c>
      <c r="S5" s="2" t="n"/>
      <c r="T5" s="2" t="n"/>
      <c r="U5" s="13">
        <f>IF(COUNTBLANK(B5:E5)&gt;0,"",SUM(B5:E5))</f>
        <v/>
      </c>
      <c r="V5" s="13">
        <f>IF(COUNTBLANK(F5:I5)&gt;0,"",SUM(F5:I5))</f>
        <v/>
      </c>
      <c r="W5" s="13">
        <f>IF(COUNTBLANK(J5:M5)&gt;0,"",SUM(J5:M5))</f>
        <v/>
      </c>
      <c r="X5" s="13">
        <f>IF(COUNTBLANK(N5:Q5)&gt;0,"",SUM(N5:Q5))</f>
        <v/>
      </c>
      <c r="Y5" s="13">
        <f>IF(COUNTBLANK(R5:R5)&gt;0,"",SUM(R5:R5))</f>
        <v/>
      </c>
      <c r="Z5" s="2" t="n"/>
      <c r="AA5" s="2" t="n"/>
      <c r="AB5" s="20" t="inlineStr">
        <is>
          <t>Sales − Gross Profit</t>
        </is>
      </c>
    </row>
    <row r="6">
      <c r="A6" s="8" t="inlineStr">
        <is>
          <t xml:space="preserve">  Gross Profit</t>
        </is>
      </c>
      <c r="B6" s="12" t="n">
        <v>134</v>
      </c>
      <c r="C6" s="12" t="n">
        <v>172.6</v>
      </c>
      <c r="D6" s="12" t="n">
        <v>192.7</v>
      </c>
      <c r="E6" s="12" t="n">
        <v>316.5</v>
      </c>
      <c r="F6" s="12" t="n">
        <v>152.5</v>
      </c>
      <c r="G6" s="12" t="n">
        <v>190.5</v>
      </c>
      <c r="H6" s="12" t="n">
        <v>206.6</v>
      </c>
      <c r="I6" s="12" t="n">
        <v>375.8</v>
      </c>
      <c r="J6" s="12" t="n">
        <v>217.6</v>
      </c>
      <c r="K6" s="13">
        <f>K9+K8</f>
        <v/>
      </c>
      <c r="L6" s="13">
        <f>L9+L8</f>
        <v/>
      </c>
      <c r="M6" s="13">
        <f>M9+M8</f>
        <v/>
      </c>
      <c r="N6" s="13">
        <f>N9+N8</f>
        <v/>
      </c>
      <c r="O6" s="13">
        <f>O9+O8</f>
        <v/>
      </c>
      <c r="P6" s="13">
        <f>P9+P8</f>
        <v/>
      </c>
      <c r="Q6" s="13">
        <f>Q9+Q8</f>
        <v/>
      </c>
      <c r="R6" s="13">
        <f>R9+R8</f>
        <v/>
      </c>
      <c r="S6" s="2" t="n"/>
      <c r="T6" s="2" t="n"/>
      <c r="U6" s="13">
        <f>IF(COUNTBLANK(B6:E6)&gt;0,"",SUM(B6:E6))</f>
        <v/>
      </c>
      <c r="V6" s="13">
        <f>IF(COUNTBLANK(F6:I6)&gt;0,"",SUM(F6:I6))</f>
        <v/>
      </c>
      <c r="W6" s="13">
        <f>IF(COUNTBLANK(J6:M6)&gt;0,"",SUM(J6:M6))</f>
        <v/>
      </c>
      <c r="X6" s="13">
        <f>IF(COUNTBLANK(N6:Q6)&gt;0,"",SUM(N6:Q6))</f>
        <v/>
      </c>
      <c r="Y6" s="13">
        <f>IF(COUNTBLANK(R6:R6)&gt;0,"",SUM(R6:R6))</f>
        <v/>
      </c>
      <c r="Z6" s="2" t="n"/>
      <c r="AA6" s="2" t="n"/>
      <c r="AB6" s="20" t="inlineStr">
        <is>
          <t>OP + SG&amp;A  (OPM-driven: GP is derived, not an input)</t>
        </is>
      </c>
    </row>
    <row r="7">
      <c r="A7" s="2" t="inlineStr">
        <is>
          <t xml:space="preserve">    GPM %</t>
        </is>
      </c>
      <c r="B7" s="21">
        <f>B6/B4*100</f>
        <v/>
      </c>
      <c r="C7" s="21">
        <f>C6/C4*100</f>
        <v/>
      </c>
      <c r="D7" s="21">
        <f>D6/D4*100</f>
        <v/>
      </c>
      <c r="E7" s="21">
        <f>E6/E4*100</f>
        <v/>
      </c>
      <c r="F7" s="21">
        <f>F6/F4*100</f>
        <v/>
      </c>
      <c r="G7" s="21">
        <f>G6/G4*100</f>
        <v/>
      </c>
      <c r="H7" s="21">
        <f>H6/H4*100</f>
        <v/>
      </c>
      <c r="I7" s="21">
        <f>I6/I4*100</f>
        <v/>
      </c>
      <c r="J7" s="21">
        <f>J6/J4*100</f>
        <v/>
      </c>
      <c r="K7" s="21">
        <f>K6/K4*100</f>
        <v/>
      </c>
      <c r="L7" s="21">
        <f>L6/L4*100</f>
        <v/>
      </c>
      <c r="M7" s="21">
        <f>M6/M4*100</f>
        <v/>
      </c>
      <c r="N7" s="21">
        <f>N6/N4*100</f>
        <v/>
      </c>
      <c r="O7" s="21">
        <f>O6/O4*100</f>
        <v/>
      </c>
      <c r="P7" s="21">
        <f>P6/P4*100</f>
        <v/>
      </c>
      <c r="Q7" s="21">
        <f>Q6/Q4*100</f>
        <v/>
      </c>
      <c r="R7" s="21">
        <f>R6/R4*100</f>
        <v/>
      </c>
      <c r="S7" s="2" t="n"/>
      <c r="T7" s="2" t="n"/>
      <c r="U7" s="22">
        <f>IF(OR(COUNTBLANK(B6:E6)&gt;0,COUNTBLANK(B4:E4)&gt;0),"",SUM(B6:E6)/SUM(B4:E4)*100)</f>
        <v/>
      </c>
      <c r="V7" s="22">
        <f>IF(OR(COUNTBLANK(F6:I6)&gt;0,COUNTBLANK(F4:I4)&gt;0),"",SUM(F6:I6)/SUM(F4:I4)*100)</f>
        <v/>
      </c>
      <c r="W7" s="22">
        <f>IF(OR(COUNTBLANK(J6:M6)&gt;0,COUNTBLANK(J4:M4)&gt;0),"",SUM(J6:M6)/SUM(J4:M4)*100)</f>
        <v/>
      </c>
      <c r="X7" s="22">
        <f>IF(OR(COUNTBLANK(N6:Q6)&gt;0,COUNTBLANK(N4:Q4)&gt;0),"",SUM(N6:Q6)/SUM(N4:Q4)*100)</f>
        <v/>
      </c>
      <c r="Y7" s="22">
        <f>IF(OR(COUNTBLANK(R6:R6)&gt;0,COUNTBLANK(R4:R4)&gt;0),"",SUM(R6:R6)/SUM(R4:R4)*100)</f>
        <v/>
      </c>
      <c r="Z7" s="2" t="n"/>
      <c r="AA7" s="2" t="n"/>
      <c r="AB7" s="20" t="inlineStr">
        <is>
          <t>Gross Profit ÷ Sales</t>
        </is>
      </c>
    </row>
    <row r="8">
      <c r="A8" s="8" t="inlineStr">
        <is>
          <t xml:space="preserve">  SG&amp;A</t>
        </is>
      </c>
      <c r="B8" s="19">
        <f>B6-B9</f>
        <v/>
      </c>
      <c r="C8" s="19">
        <f>C6-C9</f>
        <v/>
      </c>
      <c r="D8" s="19">
        <f>D6-D9</f>
        <v/>
      </c>
      <c r="E8" s="19">
        <f>E6-E9</f>
        <v/>
      </c>
      <c r="F8" s="19">
        <f>F6-F9</f>
        <v/>
      </c>
      <c r="G8" s="19">
        <f>G6-G9</f>
        <v/>
      </c>
      <c r="H8" s="19">
        <f>H6-H9</f>
        <v/>
      </c>
      <c r="I8" s="19">
        <f>I6-I9</f>
        <v/>
      </c>
      <c r="J8" s="19">
        <f>J6-J9</f>
        <v/>
      </c>
      <c r="K8" s="13">
        <f>K4*0.2035</f>
        <v/>
      </c>
      <c r="L8" s="13">
        <f>L4*0.2035</f>
        <v/>
      </c>
      <c r="M8" s="13">
        <f>M4*0.2035</f>
        <v/>
      </c>
      <c r="N8" s="13">
        <f>N4*0.2035</f>
        <v/>
      </c>
      <c r="O8" s="13">
        <f>O4*0.2035</f>
        <v/>
      </c>
      <c r="P8" s="13">
        <f>P4*0.2035</f>
        <v/>
      </c>
      <c r="Q8" s="13">
        <f>Q4*0.2035</f>
        <v/>
      </c>
      <c r="R8" s="13">
        <f>R4*0.2035</f>
        <v/>
      </c>
      <c r="S8" s="2" t="n"/>
      <c r="T8" s="2" t="n"/>
      <c r="U8" s="13">
        <f>IF(COUNTBLANK(B8:E8)&gt;0,"",SUM(B8:E8))</f>
        <v/>
      </c>
      <c r="V8" s="13">
        <f>IF(COUNTBLANK(F8:I8)&gt;0,"",SUM(F8:I8))</f>
        <v/>
      </c>
      <c r="W8" s="13">
        <f>IF(COUNTBLANK(J8:M8)&gt;0,"",SUM(J8:M8))</f>
        <v/>
      </c>
      <c r="X8" s="13">
        <f>IF(COUNTBLANK(N8:Q8)&gt;0,"",SUM(N8:Q8))</f>
        <v/>
      </c>
      <c r="Y8" s="13">
        <f>IF(COUNTBLANK(R8:R8)&gt;0,"",SUM(R8:R8))</f>
        <v/>
      </c>
      <c r="Z8" s="2" t="n"/>
      <c r="AA8" s="2" t="n"/>
      <c r="AB8" s="20" t="inlineStr">
        <is>
          <t>Sales × 20.3%  (yaml override (recent run-rate))</t>
        </is>
      </c>
    </row>
    <row r="9">
      <c r="A9" s="8" t="inlineStr">
        <is>
          <t>Operating Profit</t>
        </is>
      </c>
      <c r="B9" s="12" t="n">
        <v>-9</v>
      </c>
      <c r="C9" s="12" t="n">
        <v>28</v>
      </c>
      <c r="D9" s="12" t="n">
        <v>40.8</v>
      </c>
      <c r="E9" s="12" t="n">
        <v>155.2</v>
      </c>
      <c r="F9" s="12" t="n">
        <v>3.5</v>
      </c>
      <c r="G9" s="12" t="n">
        <v>24.4</v>
      </c>
      <c r="H9" s="12" t="n">
        <v>42.9</v>
      </c>
      <c r="I9" s="12" t="n">
        <v>200.4</v>
      </c>
      <c r="J9" s="12" t="n">
        <v>46.6</v>
      </c>
      <c r="K9" s="23">
        <f>K4*Drivers!K13/100</f>
        <v/>
      </c>
      <c r="L9" s="23">
        <f>L4*Drivers!L13/100</f>
        <v/>
      </c>
      <c r="M9" s="23">
        <f>M4*Drivers!M13/100</f>
        <v/>
      </c>
      <c r="N9" s="23">
        <f>N4*Drivers!N13/100</f>
        <v/>
      </c>
      <c r="O9" s="23">
        <f>O4*Drivers!O13/100</f>
        <v/>
      </c>
      <c r="P9" s="23">
        <f>P4*Drivers!P13/100</f>
        <v/>
      </c>
      <c r="Q9" s="23">
        <f>Q4*Drivers!Q13/100</f>
        <v/>
      </c>
      <c r="R9" s="23">
        <f>R4*Drivers!R13/100</f>
        <v/>
      </c>
      <c r="S9" s="2" t="n"/>
      <c r="T9" s="2" t="n"/>
      <c r="U9" s="15">
        <f>IF(COUNTBLANK(B9:E9)&gt;0,"",SUM(B9:E9))</f>
        <v/>
      </c>
      <c r="V9" s="15">
        <f>IF(COUNTBLANK(F9:I9)&gt;0,"",SUM(F9:I9))</f>
        <v/>
      </c>
      <c r="W9" s="15">
        <f>IF(COUNTBLANK(J9:M9)&gt;0,"",SUM(J9:M9))</f>
        <v/>
      </c>
      <c r="X9" s="15">
        <f>IF(COUNTBLANK(N9:Q9)&gt;0,"",SUM(N9:Q9))</f>
        <v/>
      </c>
      <c r="Y9" s="15">
        <f>IF(COUNTBLANK(R9:R9)&gt;0,"",SUM(R9:R9))</f>
        <v/>
      </c>
      <c r="Z9" s="2" t="n"/>
      <c r="AA9" s="2" t="n"/>
      <c r="AB9" s="20" t="inlineStr">
        <is>
          <t>Sales × per-Q consolidated OPM (Drivers)</t>
        </is>
      </c>
    </row>
    <row r="10">
      <c r="A10" s="2" t="inlineStr">
        <is>
          <t xml:space="preserve">  OPM %</t>
        </is>
      </c>
      <c r="B10" s="21">
        <f>B9/B4*100</f>
        <v/>
      </c>
      <c r="C10" s="21">
        <f>C9/C4*100</f>
        <v/>
      </c>
      <c r="D10" s="21">
        <f>D9/D4*100</f>
        <v/>
      </c>
      <c r="E10" s="21">
        <f>E9/E4*100</f>
        <v/>
      </c>
      <c r="F10" s="21">
        <f>F9/F4*100</f>
        <v/>
      </c>
      <c r="G10" s="21">
        <f>G9/G4*100</f>
        <v/>
      </c>
      <c r="H10" s="21">
        <f>H9/H4*100</f>
        <v/>
      </c>
      <c r="I10" s="21">
        <f>I9/I4*100</f>
        <v/>
      </c>
      <c r="J10" s="21">
        <f>J9/J4*100</f>
        <v/>
      </c>
      <c r="K10" s="21">
        <f>K9/K4*100</f>
        <v/>
      </c>
      <c r="L10" s="21">
        <f>L9/L4*100</f>
        <v/>
      </c>
      <c r="M10" s="21">
        <f>M9/M4*100</f>
        <v/>
      </c>
      <c r="N10" s="21">
        <f>N9/N4*100</f>
        <v/>
      </c>
      <c r="O10" s="21">
        <f>O9/O4*100</f>
        <v/>
      </c>
      <c r="P10" s="21">
        <f>P9/P4*100</f>
        <v/>
      </c>
      <c r="Q10" s="21">
        <f>Q9/Q4*100</f>
        <v/>
      </c>
      <c r="R10" s="21">
        <f>R9/R4*100</f>
        <v/>
      </c>
      <c r="S10" s="2" t="n"/>
      <c r="T10" s="2" t="n"/>
      <c r="U10" s="22">
        <f>IF(OR(COUNTBLANK(B9:E9)&gt;0,COUNTBLANK(B4:E4)&gt;0),"",SUM(B9:E9)/SUM(B4:E4)*100)</f>
        <v/>
      </c>
      <c r="V10" s="22">
        <f>IF(OR(COUNTBLANK(F9:I9)&gt;0,COUNTBLANK(F4:I4)&gt;0),"",SUM(F9:I9)/SUM(F4:I4)*100)</f>
        <v/>
      </c>
      <c r="W10" s="22">
        <f>IF(OR(COUNTBLANK(J9:M9)&gt;0,COUNTBLANK(J4:M4)&gt;0),"",SUM(J9:M9)/SUM(J4:M4)*100)</f>
        <v/>
      </c>
      <c r="X10" s="22">
        <f>IF(OR(COUNTBLANK(N9:Q9)&gt;0,COUNTBLANK(N4:Q4)&gt;0),"",SUM(N9:Q9)/SUM(N4:Q4)*100)</f>
        <v/>
      </c>
      <c r="Y10" s="22">
        <f>IF(OR(COUNTBLANK(R9:R9)&gt;0,COUNTBLANK(R4:R4)&gt;0),"",SUM(R9:R9)/SUM(R4:R4)*100)</f>
        <v/>
      </c>
      <c r="Z10" s="2" t="n"/>
      <c r="AA10" s="2" t="n"/>
      <c r="AB10" s="20" t="inlineStr">
        <is>
          <t>OP ÷ Sales</t>
        </is>
      </c>
    </row>
    <row r="11">
      <c r="A11" s="8" t="inlineStr">
        <is>
          <t xml:space="preserve">  ± Non-Op / 特別 (net)</t>
        </is>
      </c>
      <c r="B11" s="19">
        <f>B12-B9</f>
        <v/>
      </c>
      <c r="C11" s="19">
        <f>C12-C9</f>
        <v/>
      </c>
      <c r="D11" s="19">
        <f>D12-D9</f>
        <v/>
      </c>
      <c r="E11" s="19">
        <f>E12-E9</f>
        <v/>
      </c>
      <c r="F11" s="19">
        <f>F12-F9</f>
        <v/>
      </c>
      <c r="G11" s="19">
        <f>G12-G9</f>
        <v/>
      </c>
      <c r="H11" s="19">
        <f>H12-H9</f>
        <v/>
      </c>
      <c r="I11" s="19">
        <f>I12-I9</f>
        <v/>
      </c>
      <c r="J11" s="19">
        <f>J12-J9</f>
        <v/>
      </c>
      <c r="K11" s="24">
        <f>K9*FS!$B$86/100</f>
        <v/>
      </c>
      <c r="L11" s="24">
        <f>L9*FS!$B$86/100</f>
        <v/>
      </c>
      <c r="M11" s="24">
        <f>M9*FS!$B$86/100</f>
        <v/>
      </c>
      <c r="N11" s="24">
        <f>N9*FS!$B$86/100</f>
        <v/>
      </c>
      <c r="O11" s="24">
        <f>O9*FS!$B$86/100</f>
        <v/>
      </c>
      <c r="P11" s="24">
        <f>P9*FS!$B$86/100</f>
        <v/>
      </c>
      <c r="Q11" s="24">
        <f>Q9*FS!$B$86/100</f>
        <v/>
      </c>
      <c r="R11" s="24">
        <f>R9*FS!$B$86/100</f>
        <v/>
      </c>
      <c r="S11" s="2" t="n"/>
      <c r="T11" s="2" t="n"/>
      <c r="U11" s="13">
        <f>IF(COUNTBLANK(B11:E11)&gt;0,"",SUM(B11:E11))</f>
        <v/>
      </c>
      <c r="V11" s="13">
        <f>IF(COUNTBLANK(F11:I11)&gt;0,"",SUM(F11:I11))</f>
        <v/>
      </c>
      <c r="W11" s="13">
        <f>IF(COUNTBLANK(J11:M11)&gt;0,"",SUM(J11:M11))</f>
        <v/>
      </c>
      <c r="X11" s="13">
        <f>IF(COUNTBLANK(N11:Q11)&gt;0,"",SUM(N11:Q11))</f>
        <v/>
      </c>
      <c r="Y11" s="13">
        <f>IF(COUNTBLANK(R11:R11)&gt;0,"",SUM(R11:R11))</f>
        <v/>
      </c>
      <c r="Z11" s="2" t="n"/>
      <c r="AA11" s="2" t="n"/>
      <c r="AB11" s="20" t="inlineStr">
        <is>
          <t>Hist: Pretax−OP (実際 金融/持分法/特別); Fcst: OP × -0.2%</t>
        </is>
      </c>
    </row>
    <row r="12">
      <c r="A12" s="8" t="inlineStr">
        <is>
          <t>Pretax Profit (税前)</t>
        </is>
      </c>
      <c r="B12" s="12" t="n">
        <v>14.2</v>
      </c>
      <c r="C12" s="12" t="n">
        <v>14.3</v>
      </c>
      <c r="D12" s="12" t="n">
        <v>56.2</v>
      </c>
      <c r="E12" s="12" t="n">
        <v>153.7</v>
      </c>
      <c r="F12" s="12" t="n">
        <v>5.6</v>
      </c>
      <c r="G12" s="12" t="n">
        <v>24</v>
      </c>
      <c r="H12" s="12" t="n">
        <v>106</v>
      </c>
      <c r="I12" s="12" t="n">
        <v>172.5</v>
      </c>
      <c r="J12" s="12" t="n">
        <v>70</v>
      </c>
      <c r="K12" s="15">
        <f>K9+K11</f>
        <v/>
      </c>
      <c r="L12" s="15">
        <f>L9+L11</f>
        <v/>
      </c>
      <c r="M12" s="15">
        <f>M9+M11</f>
        <v/>
      </c>
      <c r="N12" s="15">
        <f>N9+N11</f>
        <v/>
      </c>
      <c r="O12" s="15">
        <f>O9+O11</f>
        <v/>
      </c>
      <c r="P12" s="15">
        <f>P9+P11</f>
        <v/>
      </c>
      <c r="Q12" s="15">
        <f>Q9+Q11</f>
        <v/>
      </c>
      <c r="R12" s="15">
        <f>R9+R11</f>
        <v/>
      </c>
      <c r="S12" s="2" t="n"/>
      <c r="T12" s="2" t="n"/>
      <c r="U12" s="15">
        <f>IF(COUNTBLANK(B12:E12)&gt;0,"",SUM(B12:E12))</f>
        <v/>
      </c>
      <c r="V12" s="15">
        <f>IF(COUNTBLANK(F12:I12)&gt;0,"",SUM(F12:I12))</f>
        <v/>
      </c>
      <c r="W12" s="15">
        <f>IF(COUNTBLANK(J12:M12)&gt;0,"",SUM(J12:M12))</f>
        <v/>
      </c>
      <c r="X12" s="15">
        <f>IF(COUNTBLANK(N12:Q12)&gt;0,"",SUM(N12:Q12))</f>
        <v/>
      </c>
      <c r="Y12" s="15">
        <f>IF(COUNTBLANK(R12:R12)&gt;0,"",SUM(R12:R12))</f>
        <v/>
      </c>
      <c r="Z12" s="2" t="n"/>
      <c r="AA12" s="2" t="n"/>
      <c r="AB12" s="20" t="inlineStr">
        <is>
          <t>Pretax (税前): Hist=disclosed actual; Fcst=OP + Non-Op</t>
        </is>
      </c>
    </row>
    <row r="13">
      <c r="A13" s="2" t="inlineStr">
        <is>
          <t xml:space="preserve">  Pretax M %</t>
        </is>
      </c>
      <c r="B13" s="21">
        <f>B12/B4*100</f>
        <v/>
      </c>
      <c r="C13" s="21">
        <f>C12/C4*100</f>
        <v/>
      </c>
      <c r="D13" s="21">
        <f>D12/D4*100</f>
        <v/>
      </c>
      <c r="E13" s="21">
        <f>E12/E4*100</f>
        <v/>
      </c>
      <c r="F13" s="21">
        <f>F12/F4*100</f>
        <v/>
      </c>
      <c r="G13" s="21">
        <f>G12/G4*100</f>
        <v/>
      </c>
      <c r="H13" s="21">
        <f>H12/H4*100</f>
        <v/>
      </c>
      <c r="I13" s="21">
        <f>I12/I4*100</f>
        <v/>
      </c>
      <c r="J13" s="21">
        <f>J12/J4*100</f>
        <v/>
      </c>
      <c r="K13" s="21">
        <f>K12/K4*100</f>
        <v/>
      </c>
      <c r="L13" s="21">
        <f>L12/L4*100</f>
        <v/>
      </c>
      <c r="M13" s="21">
        <f>M12/M4*100</f>
        <v/>
      </c>
      <c r="N13" s="21">
        <f>N12/N4*100</f>
        <v/>
      </c>
      <c r="O13" s="21">
        <f>O12/O4*100</f>
        <v/>
      </c>
      <c r="P13" s="21">
        <f>P12/P4*100</f>
        <v/>
      </c>
      <c r="Q13" s="21">
        <f>Q12/Q4*100</f>
        <v/>
      </c>
      <c r="R13" s="21">
        <f>R12/R4*100</f>
        <v/>
      </c>
      <c r="S13" s="2" t="n"/>
      <c r="T13" s="2" t="n"/>
      <c r="U13" s="22">
        <f>IF(OR(COUNTBLANK(B12:E12)&gt;0,COUNTBLANK(B4:E4)&gt;0),"",SUM(B12:E12)/SUM(B4:E4)*100)</f>
        <v/>
      </c>
      <c r="V13" s="22">
        <f>IF(OR(COUNTBLANK(F12:I12)&gt;0,COUNTBLANK(F4:I4)&gt;0),"",SUM(F12:I12)/SUM(F4:I4)*100)</f>
        <v/>
      </c>
      <c r="W13" s="22">
        <f>IF(OR(COUNTBLANK(J12:M12)&gt;0,COUNTBLANK(J4:M4)&gt;0),"",SUM(J12:M12)/SUM(J4:M4)*100)</f>
        <v/>
      </c>
      <c r="X13" s="22">
        <f>IF(OR(COUNTBLANK(N12:Q12)&gt;0,COUNTBLANK(N4:Q4)&gt;0),"",SUM(N12:Q12)/SUM(N4:Q4)*100)</f>
        <v/>
      </c>
      <c r="Y13" s="22">
        <f>IF(OR(COUNTBLANK(R12:R12)&gt;0,COUNTBLANK(R4:R4)&gt;0),"",SUM(R12:R12)/SUM(R4:R4)*100)</f>
        <v/>
      </c>
      <c r="Z13" s="2" t="n"/>
      <c r="AA13" s="2" t="n"/>
      <c r="AB13" s="20" t="inlineStr">
        <is>
          <t>Pretax ÷ Sales</t>
        </is>
      </c>
    </row>
    <row r="14">
      <c r="A14" s="8" t="inlineStr">
        <is>
          <t xml:space="preserve">  − Income Tax</t>
        </is>
      </c>
      <c r="B14" s="12" t="n">
        <v>3.7</v>
      </c>
      <c r="C14" s="12" t="n">
        <v>3.6</v>
      </c>
      <c r="D14" s="12" t="n">
        <v>15.5</v>
      </c>
      <c r="E14" s="12" t="n">
        <v>26.8</v>
      </c>
      <c r="F14" s="12" t="n">
        <v>0.9</v>
      </c>
      <c r="G14" s="12" t="n">
        <v>7.6</v>
      </c>
      <c r="H14" s="12" t="n">
        <v>28.9</v>
      </c>
      <c r="I14" s="12" t="n">
        <v>30.7</v>
      </c>
      <c r="J14" s="12" t="n">
        <v>19</v>
      </c>
      <c r="K14" s="24">
        <f>K12*FS!$B$85/100</f>
        <v/>
      </c>
      <c r="L14" s="24">
        <f>L12*FS!$B$85/100</f>
        <v/>
      </c>
      <c r="M14" s="24">
        <f>M12*FS!$B$85/100</f>
        <v/>
      </c>
      <c r="N14" s="24">
        <f>N12*FS!$B$85/100</f>
        <v/>
      </c>
      <c r="O14" s="24">
        <f>O12*FS!$B$85/100</f>
        <v/>
      </c>
      <c r="P14" s="24">
        <f>P12*FS!$B$85/100</f>
        <v/>
      </c>
      <c r="Q14" s="24">
        <f>Q12*FS!$B$85/100</f>
        <v/>
      </c>
      <c r="R14" s="24">
        <f>R12*FS!$B$85/100</f>
        <v/>
      </c>
      <c r="S14" s="2" t="n"/>
      <c r="T14" s="2" t="n"/>
      <c r="U14" s="13">
        <f>IF(COUNTBLANK(B14:E14)&gt;0,"",SUM(B14:E14))</f>
        <v/>
      </c>
      <c r="V14" s="13">
        <f>IF(COUNTBLANK(F14:I14)&gt;0,"",SUM(F14:I14))</f>
        <v/>
      </c>
      <c r="W14" s="13">
        <f>IF(COUNTBLANK(J14:M14)&gt;0,"",SUM(J14:M14))</f>
        <v/>
      </c>
      <c r="X14" s="13">
        <f>IF(COUNTBLANK(N14:Q14)&gt;0,"",SUM(N14:Q14))</f>
        <v/>
      </c>
      <c r="Y14" s="13">
        <f>IF(COUNTBLANK(R14:R14)&gt;0,"",SUM(R14:R14))</f>
        <v/>
      </c>
      <c r="Z14" s="2" t="n"/>
      <c r="AA14" s="2" t="n"/>
      <c r="AB14" s="20" t="inlineStr">
        <is>
          <t>Hist: actual 法人税等; Fcst: Pretax × 24.2% (auto)</t>
        </is>
      </c>
    </row>
    <row r="15">
      <c r="A15" s="2" t="inlineStr">
        <is>
          <t xml:space="preserve">    Tax rate %</t>
        </is>
      </c>
      <c r="B15" s="21">
        <f>IF(B12=0,"",B14/B12*100)</f>
        <v/>
      </c>
      <c r="C15" s="21">
        <f>IF(C12=0,"",C14/C12*100)</f>
        <v/>
      </c>
      <c r="D15" s="21">
        <f>IF(D12=0,"",D14/D12*100)</f>
        <v/>
      </c>
      <c r="E15" s="21">
        <f>IF(E12=0,"",E14/E12*100)</f>
        <v/>
      </c>
      <c r="F15" s="21">
        <f>IF(F12=0,"",F14/F12*100)</f>
        <v/>
      </c>
      <c r="G15" s="21">
        <f>IF(G12=0,"",G14/G12*100)</f>
        <v/>
      </c>
      <c r="H15" s="21">
        <f>IF(H12=0,"",H14/H12*100)</f>
        <v/>
      </c>
      <c r="I15" s="21">
        <f>IF(I12=0,"",I14/I12*100)</f>
        <v/>
      </c>
      <c r="J15" s="21">
        <f>IF(J12=0,"",J14/J12*100)</f>
        <v/>
      </c>
      <c r="K15" s="25">
        <f>FS!$B$85</f>
        <v/>
      </c>
      <c r="L15" s="25">
        <f>FS!$B$85</f>
        <v/>
      </c>
      <c r="M15" s="25">
        <f>FS!$B$85</f>
        <v/>
      </c>
      <c r="N15" s="25">
        <f>FS!$B$85</f>
        <v/>
      </c>
      <c r="O15" s="25">
        <f>FS!$B$85</f>
        <v/>
      </c>
      <c r="P15" s="25">
        <f>FS!$B$85</f>
        <v/>
      </c>
      <c r="Q15" s="25">
        <f>FS!$B$85</f>
        <v/>
      </c>
      <c r="R15" s="25">
        <f>FS!$B$85</f>
        <v/>
      </c>
      <c r="S15" s="2" t="n"/>
      <c r="T15" s="2" t="n"/>
      <c r="U15" s="22">
        <f>IF(OR(COUNTBLANK(B14:E14)&gt;0,COUNTBLANK(B12:E12)&gt;0),"",SUM(B14:E14)/SUM(B12:E12)*100)</f>
        <v/>
      </c>
      <c r="V15" s="22">
        <f>IF(OR(COUNTBLANK(F14:I14)&gt;0,COUNTBLANK(F12:I12)&gt;0),"",SUM(F14:I14)/SUM(F12:I12)*100)</f>
        <v/>
      </c>
      <c r="W15" s="22">
        <f>IF(OR(COUNTBLANK(J14:M14)&gt;0,COUNTBLANK(J12:M12)&gt;0),"",SUM(J14:M14)/SUM(J12:M12)*100)</f>
        <v/>
      </c>
      <c r="X15" s="22">
        <f>IF(OR(COUNTBLANK(N14:Q14)&gt;0,COUNTBLANK(N12:Q12)&gt;0),"",SUM(N14:Q14)/SUM(N12:Q12)*100)</f>
        <v/>
      </c>
      <c r="Y15" s="22">
        <f>IF(OR(COUNTBLANK(R14:R14)&gt;0,COUNTBLANK(R12:R12)&gt;0),"",SUM(R14:R14)/SUM(R12:R12)*100)</f>
        <v/>
      </c>
      <c r="Z15" s="2" t="n"/>
      <c r="AA15" s="2" t="n"/>
      <c r="AB15" s="20" t="inlineStr">
        <is>
          <t>Hist: Income Tax ÷ Pretax (実効税率); Fcst: flat 24.2% assumption (Summary)</t>
        </is>
      </c>
    </row>
    <row r="16">
      <c r="A16" s="8" t="inlineStr">
        <is>
          <t xml:space="preserve">  − Minority Int. (NCI)</t>
        </is>
      </c>
      <c r="B16" s="19">
        <f>B12-B14-B18</f>
        <v/>
      </c>
      <c r="C16" s="19">
        <f>C12-C14-C18</f>
        <v/>
      </c>
      <c r="D16" s="19">
        <f>D12-D14-D18</f>
        <v/>
      </c>
      <c r="E16" s="19">
        <f>E12-E14-E18</f>
        <v/>
      </c>
      <c r="F16" s="19">
        <f>F12-F14-F18</f>
        <v/>
      </c>
      <c r="G16" s="19">
        <f>G12-G14-G18</f>
        <v/>
      </c>
      <c r="H16" s="19">
        <f>H12-H14-H18</f>
        <v/>
      </c>
      <c r="I16" s="19">
        <f>I12-I14-I18</f>
        <v/>
      </c>
      <c r="J16" s="19">
        <f>J12-J14-J18</f>
        <v/>
      </c>
      <c r="K16" s="24">
        <f>K12*FS!$B$101/100</f>
        <v/>
      </c>
      <c r="L16" s="24">
        <f>L12*FS!$B$101/100</f>
        <v/>
      </c>
      <c r="M16" s="24">
        <f>M12*FS!$B$101/100</f>
        <v/>
      </c>
      <c r="N16" s="24">
        <f>N12*FS!$B$101/100</f>
        <v/>
      </c>
      <c r="O16" s="24">
        <f>O12*FS!$B$101/100</f>
        <v/>
      </c>
      <c r="P16" s="24">
        <f>P12*FS!$B$101/100</f>
        <v/>
      </c>
      <c r="Q16" s="24">
        <f>Q12*FS!$B$101/100</f>
        <v/>
      </c>
      <c r="R16" s="24">
        <f>R12*FS!$B$101/100</f>
        <v/>
      </c>
      <c r="S16" s="2" t="n"/>
      <c r="T16" s="2" t="n"/>
      <c r="U16" s="13">
        <f>IF(COUNTBLANK(B16:E16)&gt;0,"",SUM(B16:E16))</f>
        <v/>
      </c>
      <c r="V16" s="13">
        <f>IF(COUNTBLANK(F16:I16)&gt;0,"",SUM(F16:I16))</f>
        <v/>
      </c>
      <c r="W16" s="13">
        <f>IF(COUNTBLANK(J16:M16)&gt;0,"",SUM(J16:M16))</f>
        <v/>
      </c>
      <c r="X16" s="13">
        <f>IF(COUNTBLANK(N16:Q16)&gt;0,"",SUM(N16:Q16))</f>
        <v/>
      </c>
      <c r="Y16" s="13">
        <f>IF(COUNTBLANK(R16:R16)&gt;0,"",SUM(R16:R16))</f>
        <v/>
      </c>
      <c r="Z16" s="2" t="n"/>
      <c r="AA16" s="2" t="n"/>
      <c r="AB16" s="20" t="inlineStr">
        <is>
          <t>Hist: Pretax−Tax−NP; Fcst: Pretax × 1.2%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8" t="inlineStr">
        <is>
          <t>Net Income</t>
        </is>
      </c>
      <c r="B18" s="12" t="n">
        <v>10.2</v>
      </c>
      <c r="C18" s="12" t="n">
        <v>10.8</v>
      </c>
      <c r="D18" s="12" t="n">
        <v>38.4</v>
      </c>
      <c r="E18" s="12" t="n">
        <v>125.6</v>
      </c>
      <c r="F18" s="12" t="n">
        <v>4.6</v>
      </c>
      <c r="G18" s="12" t="n">
        <v>15.6</v>
      </c>
      <c r="H18" s="12" t="n">
        <v>76.09999999999999</v>
      </c>
      <c r="I18" s="12" t="n">
        <v>139.9</v>
      </c>
      <c r="J18" s="12" t="n">
        <v>50.6</v>
      </c>
      <c r="K18" s="15">
        <f>K12-K14-K16</f>
        <v/>
      </c>
      <c r="L18" s="15">
        <f>L12-L14-L16</f>
        <v/>
      </c>
      <c r="M18" s="15">
        <f>M12-M14-M16</f>
        <v/>
      </c>
      <c r="N18" s="15">
        <f>N12-N14-N16</f>
        <v/>
      </c>
      <c r="O18" s="15">
        <f>O12-O14-O16</f>
        <v/>
      </c>
      <c r="P18" s="15">
        <f>P12-P14-P16</f>
        <v/>
      </c>
      <c r="Q18" s="15">
        <f>Q12-Q14-Q16</f>
        <v/>
      </c>
      <c r="R18" s="15">
        <f>R12-R14-R16</f>
        <v/>
      </c>
      <c r="S18" s="2" t="n"/>
      <c r="T18" s="2" t="n"/>
      <c r="U18" s="15">
        <f>IF(COUNTBLANK(B18:E18)&gt;0,"",SUM(B18:E18))</f>
        <v/>
      </c>
      <c r="V18" s="15">
        <f>IF(COUNTBLANK(F18:I18)&gt;0,"",SUM(F18:I18))</f>
        <v/>
      </c>
      <c r="W18" s="15">
        <f>IF(COUNTBLANK(J18:M18)&gt;0,"",SUM(J18:M18))</f>
        <v/>
      </c>
      <c r="X18" s="15">
        <f>IF(COUNTBLANK(N18:Q18)&gt;0,"",SUM(N18:Q18))</f>
        <v/>
      </c>
      <c r="Y18" s="15">
        <f>IF(COUNTBLANK(R18:R18)&gt;0,"",SUM(R18:R18))</f>
        <v/>
      </c>
      <c r="Z18" s="2" t="n"/>
      <c r="AA18" s="2" t="n"/>
      <c r="AB18" s="20" t="inlineStr">
        <is>
          <t>Pretax − Tax − Minority  (親会社株主帰属)</t>
        </is>
      </c>
    </row>
    <row r="19">
      <c r="A19" s="2" t="inlineStr">
        <is>
          <t xml:space="preserve">  NPM %</t>
        </is>
      </c>
      <c r="B19" s="21">
        <f>B18/B4*100</f>
        <v/>
      </c>
      <c r="C19" s="21">
        <f>C18/C4*100</f>
        <v/>
      </c>
      <c r="D19" s="21">
        <f>D18/D4*100</f>
        <v/>
      </c>
      <c r="E19" s="21">
        <f>E18/E4*100</f>
        <v/>
      </c>
      <c r="F19" s="21">
        <f>F18/F4*100</f>
        <v/>
      </c>
      <c r="G19" s="21">
        <f>G18/G4*100</f>
        <v/>
      </c>
      <c r="H19" s="21">
        <f>H18/H4*100</f>
        <v/>
      </c>
      <c r="I19" s="21">
        <f>I18/I4*100</f>
        <v/>
      </c>
      <c r="J19" s="21">
        <f>J18/J4*100</f>
        <v/>
      </c>
      <c r="K19" s="21">
        <f>K18/K4*100</f>
        <v/>
      </c>
      <c r="L19" s="21">
        <f>L18/L4*100</f>
        <v/>
      </c>
      <c r="M19" s="21">
        <f>M18/M4*100</f>
        <v/>
      </c>
      <c r="N19" s="21">
        <f>N18/N4*100</f>
        <v/>
      </c>
      <c r="O19" s="21">
        <f>O18/O4*100</f>
        <v/>
      </c>
      <c r="P19" s="21">
        <f>P18/P4*100</f>
        <v/>
      </c>
      <c r="Q19" s="21">
        <f>Q18/Q4*100</f>
        <v/>
      </c>
      <c r="R19" s="21">
        <f>R18/R4*100</f>
        <v/>
      </c>
      <c r="S19" s="2" t="n"/>
      <c r="T19" s="2" t="n"/>
      <c r="U19" s="22">
        <f>IF(OR(COUNTBLANK(B18:E18)&gt;0,COUNTBLANK(B4:E4)&gt;0),"",SUM(B18:E18)/SUM(B4:E4)*100)</f>
        <v/>
      </c>
      <c r="V19" s="22">
        <f>IF(OR(COUNTBLANK(F18:I18)&gt;0,COUNTBLANK(F4:I4)&gt;0),"",SUM(F18:I18)/SUM(F4:I4)*100)</f>
        <v/>
      </c>
      <c r="W19" s="22">
        <f>IF(OR(COUNTBLANK(J18:M18)&gt;0,COUNTBLANK(J4:M4)&gt;0),"",SUM(J18:M18)/SUM(J4:M4)*100)</f>
        <v/>
      </c>
      <c r="X19" s="22">
        <f>IF(OR(COUNTBLANK(N18:Q18)&gt;0,COUNTBLANK(N4:Q4)&gt;0),"",SUM(N18:Q18)/SUM(N4:Q4)*100)</f>
        <v/>
      </c>
      <c r="Y19" s="22">
        <f>IF(OR(COUNTBLANK(R18:R18)&gt;0,COUNTBLANK(R4:R4)&gt;0),"",SUM(R18:R18)/SUM(R4:R4)*100)</f>
        <v/>
      </c>
      <c r="Z19" s="2" t="n"/>
      <c r="AA19" s="2" t="n"/>
      <c r="AB19" s="20" t="inlineStr">
        <is>
          <t>NP ÷ Sales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8" t="inlineStr">
        <is>
          <t>Diluted Shares (M)</t>
        </is>
      </c>
      <c r="B21" s="12" t="n">
        <v>45.4</v>
      </c>
      <c r="C21" s="12" t="n">
        <v>45.4</v>
      </c>
      <c r="D21" s="12" t="n">
        <v>45.4</v>
      </c>
      <c r="E21" s="12" t="n">
        <v>45.4</v>
      </c>
      <c r="F21" s="12" t="n">
        <v>45.4</v>
      </c>
      <c r="G21" s="12" t="n">
        <v>45.4</v>
      </c>
      <c r="H21" s="12" t="n">
        <v>45.4</v>
      </c>
      <c r="I21" s="12" t="n">
        <v>45.4</v>
      </c>
      <c r="J21" s="12" t="n">
        <v>45.4</v>
      </c>
      <c r="K21" s="24">
        <f>J21-FS!K76*100/FS!$B$99</f>
        <v/>
      </c>
      <c r="L21" s="24">
        <f>K21-FS!L76*100/FS!$B$99</f>
        <v/>
      </c>
      <c r="M21" s="24">
        <f>L21-FS!M76*100/FS!$B$99</f>
        <v/>
      </c>
      <c r="N21" s="24">
        <f>M21-FS!N76*100/FS!$B$99</f>
        <v/>
      </c>
      <c r="O21" s="24">
        <f>N21-FS!O76*100/FS!$B$99</f>
        <v/>
      </c>
      <c r="P21" s="24">
        <f>O21-FS!P76*100/FS!$B$99</f>
        <v/>
      </c>
      <c r="Q21" s="24">
        <f>P21-FS!Q76*100/FS!$B$99</f>
        <v/>
      </c>
      <c r="R21" s="24">
        <f>Q21-FS!R76*100/FS!$B$99</f>
        <v/>
      </c>
      <c r="S21" s="2" t="n"/>
      <c r="T21" s="2" t="n"/>
      <c r="U21" s="13">
        <f>IF(ISBLANK(E21),"",E21)</f>
        <v/>
      </c>
      <c r="V21" s="13">
        <f>IF(ISBLANK(I21),"",I21)</f>
        <v/>
      </c>
      <c r="W21" s="13">
        <f>IF(ISBLANK(M21),"",M21)</f>
        <v/>
      </c>
      <c r="X21" s="13">
        <f>IF(ISBLANK(Q21),"",Q21)</f>
        <v/>
      </c>
      <c r="Y21" s="13">
        <f>IF(ISBLANK(R21),"",R21)</f>
        <v/>
      </c>
      <c r="Z21" s="2" t="n"/>
      <c r="AA21" s="2" t="n"/>
      <c r="AB21" s="20" t="inlineStr">
        <is>
          <t>Hist: per-Q AvgSh from fins_summary; Fcst: prior − Buyback×100÷AvgPx (B26)</t>
        </is>
      </c>
    </row>
    <row r="22">
      <c r="A22" s="8" t="inlineStr">
        <is>
          <t>EPS (¥)</t>
        </is>
      </c>
      <c r="B22" s="26">
        <f>B18*100/B21</f>
        <v/>
      </c>
      <c r="C22" s="26">
        <f>C18*100/C21</f>
        <v/>
      </c>
      <c r="D22" s="26">
        <f>D18*100/D21</f>
        <v/>
      </c>
      <c r="E22" s="26">
        <f>E18*100/E21</f>
        <v/>
      </c>
      <c r="F22" s="26">
        <f>F18*100/F21</f>
        <v/>
      </c>
      <c r="G22" s="26">
        <f>G18*100/G21</f>
        <v/>
      </c>
      <c r="H22" s="26">
        <f>H18*100/H21</f>
        <v/>
      </c>
      <c r="I22" s="26">
        <f>I18*100/I21</f>
        <v/>
      </c>
      <c r="J22" s="26">
        <f>J18*100/J21</f>
        <v/>
      </c>
      <c r="K22" s="27">
        <f>K18*100/K21</f>
        <v/>
      </c>
      <c r="L22" s="27">
        <f>L18*100/L21</f>
        <v/>
      </c>
      <c r="M22" s="27">
        <f>M18*100/M21</f>
        <v/>
      </c>
      <c r="N22" s="27">
        <f>N18*100/N21</f>
        <v/>
      </c>
      <c r="O22" s="27">
        <f>O18*100/O21</f>
        <v/>
      </c>
      <c r="P22" s="27">
        <f>P18*100/P21</f>
        <v/>
      </c>
      <c r="Q22" s="27">
        <f>Q18*100/Q21</f>
        <v/>
      </c>
      <c r="R22" s="27">
        <f>R18*100/R21</f>
        <v/>
      </c>
      <c r="S22" s="2" t="n"/>
      <c r="T22" s="2" t="n"/>
      <c r="U22" s="27">
        <f>IF(COUNTBLANK(B22:E22)&gt;0,"",SUM(B22:E22))</f>
        <v/>
      </c>
      <c r="V22" s="27">
        <f>IF(COUNTBLANK(F22:I22)&gt;0,"",SUM(F22:I22))</f>
        <v/>
      </c>
      <c r="W22" s="27">
        <f>IF(COUNTBLANK(J22:M22)&gt;0,"",SUM(J22:M22))</f>
        <v/>
      </c>
      <c r="X22" s="27">
        <f>IF(COUNTBLANK(N22:Q22)&gt;0,"",SUM(N22:Q22))</f>
        <v/>
      </c>
      <c r="Y22" s="27">
        <f>IF(COUNTBLANK(R22:R22)&gt;0,"",SUM(R22:R22))</f>
        <v/>
      </c>
      <c r="Z22" s="2" t="n"/>
      <c r="AA22" s="2" t="n"/>
      <c r="AB22" s="20" t="inlineStr">
        <is>
          <t>NP × 100 ÷ Shares  (oku → yen)</t>
        </is>
      </c>
    </row>
    <row r="23">
      <c r="A23" s="8" t="inlineStr">
        <is>
          <t>DPS (¥)</t>
        </is>
      </c>
      <c r="B23" s="28" t="n">
        <v>0</v>
      </c>
      <c r="C23" s="28" t="n">
        <v>35</v>
      </c>
      <c r="D23" s="28" t="n">
        <v>0</v>
      </c>
      <c r="E23" s="28" t="n">
        <v>88</v>
      </c>
      <c r="F23" s="28" t="n">
        <v>0</v>
      </c>
      <c r="G23" s="28" t="n">
        <v>47</v>
      </c>
      <c r="H23" s="28" t="n">
        <v>0</v>
      </c>
      <c r="I23" s="28" t="n">
        <v>110</v>
      </c>
      <c r="J23" s="28" t="n">
        <v>0</v>
      </c>
      <c r="K23" s="29" t="n">
        <v>83</v>
      </c>
      <c r="L23" s="29" t="n">
        <v>0</v>
      </c>
      <c r="M23" s="30">
        <f>M22*FS!$B$88/100</f>
        <v/>
      </c>
      <c r="N23" s="30">
        <f>N22*FS!$B$88/100</f>
        <v/>
      </c>
      <c r="O23" s="30">
        <f>O22*FS!$B$88/100</f>
        <v/>
      </c>
      <c r="P23" s="30">
        <f>P22*FS!$B$88/100</f>
        <v/>
      </c>
      <c r="Q23" s="30">
        <f>Q22*FS!$B$88/100</f>
        <v/>
      </c>
      <c r="R23" s="30">
        <f>R22*FS!$B$88/100</f>
        <v/>
      </c>
      <c r="S23" s="2" t="n"/>
      <c r="T23" s="2" t="n"/>
      <c r="U23" s="31">
        <f>IF(COUNTBLANK(B23:E23)&gt;0,"",SUM(B23:E23))</f>
        <v/>
      </c>
      <c r="V23" s="31">
        <f>IF(COUNTBLANK(F23:I23)&gt;0,"",SUM(F23:I23))</f>
        <v/>
      </c>
      <c r="W23" s="31">
        <f>IF(COUNTBLANK(J23:M23)&gt;0,"",SUM(J23:M23))</f>
        <v/>
      </c>
      <c r="X23" s="31">
        <f>IF(COUNTBLANK(N23:Q23)&gt;0,"",SUM(N23:Q23))</f>
        <v/>
      </c>
      <c r="Y23" s="31">
        <f>IF(COUNTBLANK(R23:R23)&gt;0,"",SUM(R23:R23))</f>
        <v/>
      </c>
      <c r="Z23" s="2" t="n"/>
      <c r="AA23" s="2" t="n"/>
      <c r="AB23" s="20" t="inlineStr">
        <is>
          <t>Disclosed DPS (実績/会社予想): interim@Q2, year-end@Q4; else EPS×payout</t>
        </is>
      </c>
    </row>
    <row r="24">
      <c r="A24" s="2" t="inlineStr">
        <is>
          <t>Payout %</t>
        </is>
      </c>
      <c r="B24" s="21">
        <f>IF(B22=0,"",B23/B22*100)</f>
        <v/>
      </c>
      <c r="C24" s="21">
        <f>IF(C22=0,"",C23/C22*100)</f>
        <v/>
      </c>
      <c r="D24" s="21">
        <f>IF(D22=0,"",D23/D22*100)</f>
        <v/>
      </c>
      <c r="E24" s="21">
        <f>IF(E22=0,"",E23/E22*100)</f>
        <v/>
      </c>
      <c r="F24" s="21">
        <f>IF(F22=0,"",F23/F22*100)</f>
        <v/>
      </c>
      <c r="G24" s="21">
        <f>IF(G22=0,"",G23/G22*100)</f>
        <v/>
      </c>
      <c r="H24" s="21">
        <f>IF(H22=0,"",H23/H22*100)</f>
        <v/>
      </c>
      <c r="I24" s="21">
        <f>IF(I22=0,"",I23/I22*100)</f>
        <v/>
      </c>
      <c r="J24" s="21">
        <f>IF(J22=0,"",J23/J22*100)</f>
        <v/>
      </c>
      <c r="K24" s="21">
        <f>IF(K22=0,"",K23/K22*100)</f>
        <v/>
      </c>
      <c r="L24" s="21">
        <f>IF(L22=0,"",L23/L22*100)</f>
        <v/>
      </c>
      <c r="M24" s="21">
        <f>IF(M22=0,"",M23/M22*100)</f>
        <v/>
      </c>
      <c r="N24" s="21">
        <f>IF(N22=0,"",N23/N22*100)</f>
        <v/>
      </c>
      <c r="O24" s="21">
        <f>IF(O22=0,"",O23/O22*100)</f>
        <v/>
      </c>
      <c r="P24" s="21">
        <f>IF(P22=0,"",P23/P22*100)</f>
        <v/>
      </c>
      <c r="Q24" s="21">
        <f>IF(Q22=0,"",Q23/Q22*100)</f>
        <v/>
      </c>
      <c r="R24" s="21">
        <f>IF(R22=0,"",R23/R22*100)</f>
        <v/>
      </c>
      <c r="S24" s="2" t="n"/>
      <c r="T24" s="2" t="n"/>
      <c r="U24" s="22">
        <f>IF(OR(COUNTBLANK(B23:E23)&gt;0,COUNTBLANK(B22:E22)&gt;0),"",SUM(B23:E23)/SUM(B22:E22)*100)</f>
        <v/>
      </c>
      <c r="V24" s="22">
        <f>IF(OR(COUNTBLANK(F23:I23)&gt;0,COUNTBLANK(F22:I22)&gt;0),"",SUM(F23:I23)/SUM(F22:I22)*100)</f>
        <v/>
      </c>
      <c r="W24" s="22">
        <f>IF(OR(COUNTBLANK(J23:M23)&gt;0,COUNTBLANK(J22:M22)&gt;0),"",SUM(J23:M23)/SUM(J22:M22)*100)</f>
        <v/>
      </c>
      <c r="X24" s="22">
        <f>IF(OR(COUNTBLANK(N23:Q23)&gt;0,COUNTBLANK(N22:Q22)&gt;0),"",SUM(N23:Q23)/SUM(N22:Q22)*100)</f>
        <v/>
      </c>
      <c r="Y24" s="22">
        <f>IF(OR(COUNTBLANK(R23:R23)&gt;0,COUNTBLANK(R22:R22)&gt;0),"",SUM(R23:R23)/SUM(R22:R22)*100)</f>
        <v/>
      </c>
      <c r="Z24" s="2" t="n"/>
      <c r="AA24" s="2" t="n"/>
      <c r="AB24" s="20" t="inlineStr">
        <is>
          <t>DPS ÷ EPS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17" t="inlineStr">
        <is>
          <t>Balance Sheet (億) — BLUE=actual/input, BLACK=formula, GREEN=cross-sheet, ORANGE=guide/end-of-FY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11" t="inlineStr">
        <is>
          <t>Line Item</t>
        </is>
      </c>
      <c r="B29" s="5" t="inlineStr">
        <is>
          <t>FY24Q1</t>
        </is>
      </c>
      <c r="C29" s="5" t="inlineStr">
        <is>
          <t>FY24Q2</t>
        </is>
      </c>
      <c r="D29" s="5" t="inlineStr">
        <is>
          <t>FY24Q3</t>
        </is>
      </c>
      <c r="E29" s="5" t="inlineStr">
        <is>
          <t>FY24Q4</t>
        </is>
      </c>
      <c r="F29" s="5" t="inlineStr">
        <is>
          <t>FY25Q1</t>
        </is>
      </c>
      <c r="G29" s="5" t="inlineStr">
        <is>
          <t>FY25Q2</t>
        </is>
      </c>
      <c r="H29" s="5" t="inlineStr">
        <is>
          <t>FY25Q3</t>
        </is>
      </c>
      <c r="I29" s="5" t="inlineStr">
        <is>
          <t>FY25Q4</t>
        </is>
      </c>
      <c r="J29" s="5" t="inlineStr">
        <is>
          <t>FY26Q1</t>
        </is>
      </c>
      <c r="K29" s="6" t="inlineStr">
        <is>
          <t>FY26Q2</t>
        </is>
      </c>
      <c r="L29" s="6" t="inlineStr">
        <is>
          <t>FY26Q3</t>
        </is>
      </c>
      <c r="M29" s="6" t="inlineStr">
        <is>
          <t>FY26Q4</t>
        </is>
      </c>
      <c r="N29" s="6" t="inlineStr">
        <is>
          <t>FY27Q1</t>
        </is>
      </c>
      <c r="O29" s="6" t="inlineStr">
        <is>
          <t>FY27Q2</t>
        </is>
      </c>
      <c r="P29" s="6" t="inlineStr">
        <is>
          <t>FY27Q3</t>
        </is>
      </c>
      <c r="Q29" s="6" t="inlineStr">
        <is>
          <t>FY27Q4</t>
        </is>
      </c>
      <c r="R29" s="6" t="inlineStr">
        <is>
          <t>FY28Q1</t>
        </is>
      </c>
      <c r="S29" s="2" t="n"/>
      <c r="T29" s="2" t="n"/>
      <c r="U29" s="5" t="inlineStr">
        <is>
          <t>FY24</t>
        </is>
      </c>
      <c r="V29" s="5" t="inlineStr">
        <is>
          <t>FY25</t>
        </is>
      </c>
      <c r="W29" s="7" t="inlineStr">
        <is>
          <t>FY26</t>
        </is>
      </c>
      <c r="X29" s="7" t="inlineStr">
        <is>
          <t>FY27</t>
        </is>
      </c>
      <c r="Y29" s="7" t="inlineStr">
        <is>
          <t>FY28</t>
        </is>
      </c>
      <c r="Z29" s="7" t="inlineStr">
        <is>
          <t>FY26 EoFY</t>
        </is>
      </c>
      <c r="AA29" s="2" t="n"/>
      <c r="AB29" s="18" t="inlineStr">
        <is>
          <t>Forecast Formula (plain English)</t>
        </is>
      </c>
    </row>
    <row r="30">
      <c r="A30" s="8" t="inlineStr">
        <is>
          <t>Cash &amp; Equivalents</t>
        </is>
      </c>
      <c r="B30" s="12" t="n">
        <v>279.9</v>
      </c>
      <c r="C30" s="12" t="n">
        <v>230.1</v>
      </c>
      <c r="D30" s="12" t="n">
        <v>314</v>
      </c>
      <c r="E30" s="12" t="n">
        <v>306.8</v>
      </c>
      <c r="F30" s="12" t="n">
        <v>409</v>
      </c>
      <c r="G30" s="12" t="n">
        <v>292.3</v>
      </c>
      <c r="H30" s="12" t="n">
        <v>312.2</v>
      </c>
      <c r="I30" s="12" t="n">
        <v>318.3</v>
      </c>
      <c r="J30" s="12" t="n">
        <v>470.4</v>
      </c>
      <c r="K30" s="24">
        <f>J30+FS!K63+FS!K64+FS!K65</f>
        <v/>
      </c>
      <c r="L30" s="24">
        <f>K30+FS!L63+FS!L64+FS!L65</f>
        <v/>
      </c>
      <c r="M30" s="24">
        <f>L30+FS!M63+FS!M64+FS!M65</f>
        <v/>
      </c>
      <c r="N30" s="24">
        <f>M30+FS!N63+FS!N64+FS!N65</f>
        <v/>
      </c>
      <c r="O30" s="24">
        <f>N30+FS!O63+FS!O64+FS!O65</f>
        <v/>
      </c>
      <c r="P30" s="24">
        <f>O30+FS!P63+FS!P64+FS!P65</f>
        <v/>
      </c>
      <c r="Q30" s="24">
        <f>P30+FS!Q63+FS!Q64+FS!Q65</f>
        <v/>
      </c>
      <c r="R30" s="24">
        <f>Q30+FS!R63+FS!R64+FS!R65</f>
        <v/>
      </c>
      <c r="S30" s="2" t="n"/>
      <c r="T30" s="2" t="n"/>
      <c r="U30" s="13">
        <f>IF(ISBLANK(E30),"",E30)</f>
        <v/>
      </c>
      <c r="V30" s="13">
        <f>IF(ISBLANK(I30),"",I30)</f>
        <v/>
      </c>
      <c r="W30" s="13">
        <f>IF(ISBLANK(M30),"",M30)</f>
        <v/>
      </c>
      <c r="X30" s="13">
        <f>IF(ISBLANK(Q30),"",Q30)</f>
        <v/>
      </c>
      <c r="Y30" s="13">
        <f>IF(ISBLANK(R30),"",R30)</f>
        <v/>
      </c>
      <c r="Z30" s="19">
        <f>R30</f>
        <v/>
      </c>
      <c r="AA30" s="2" t="n"/>
      <c r="AB30" s="20" t="inlineStr">
        <is>
          <t>Prior Cash + OCF + ICF + Financing CF  (rolled from CF sheet; NOT Free CF — that is the separate OCF+ICF row)</t>
        </is>
      </c>
    </row>
    <row r="31">
      <c r="A31" s="8" t="inlineStr">
        <is>
          <t xml:space="preserve">  Trade Receivables</t>
        </is>
      </c>
      <c r="B31" s="12" t="n">
        <v>687.7</v>
      </c>
      <c r="C31" s="12" t="n">
        <v>745.4</v>
      </c>
      <c r="D31" s="12" t="n">
        <v>753</v>
      </c>
      <c r="E31" s="12" t="n">
        <v>1045.9</v>
      </c>
      <c r="F31" s="12" t="n">
        <v>657.6</v>
      </c>
      <c r="G31" s="12" t="n">
        <v>774</v>
      </c>
      <c r="H31" s="12" t="n">
        <v>858.1</v>
      </c>
      <c r="I31" s="12" t="n">
        <v>1217.3</v>
      </c>
      <c r="J31" s="12" t="n">
        <v>813.8</v>
      </c>
      <c r="K31" s="24">
        <f>K55*FS!K4/91</f>
        <v/>
      </c>
      <c r="L31" s="24">
        <f>L55*FS!L4/91</f>
        <v/>
      </c>
      <c r="M31" s="24">
        <f>M55*FS!M4/91</f>
        <v/>
      </c>
      <c r="N31" s="24">
        <f>N55*FS!N4/91</f>
        <v/>
      </c>
      <c r="O31" s="24">
        <f>O55*FS!O4/91</f>
        <v/>
      </c>
      <c r="P31" s="24">
        <f>P55*FS!P4/91</f>
        <v/>
      </c>
      <c r="Q31" s="24">
        <f>Q55*FS!Q4/91</f>
        <v/>
      </c>
      <c r="R31" s="24">
        <f>R55*FS!R4/91</f>
        <v/>
      </c>
      <c r="S31" s="2" t="n"/>
      <c r="T31" s="2" t="n"/>
      <c r="U31" s="13">
        <f>IF(ISBLANK(E31),"",E31)</f>
        <v/>
      </c>
      <c r="V31" s="13">
        <f>IF(ISBLANK(I31),"",I31)</f>
        <v/>
      </c>
      <c r="W31" s="13">
        <f>IF(ISBLANK(M31),"",M31)</f>
        <v/>
      </c>
      <c r="X31" s="13">
        <f>IF(ISBLANK(Q31),"",Q31)</f>
        <v/>
      </c>
      <c r="Y31" s="13">
        <f>IF(ISBLANK(R31),"",R31)</f>
        <v/>
      </c>
      <c r="Z31" s="2" t="n"/>
      <c r="AA31" s="2" t="n"/>
      <c r="AB31" s="20" t="inlineStr">
        <is>
          <t>Sales × DSO / 91  (or actual when available)</t>
        </is>
      </c>
    </row>
    <row r="32">
      <c r="A32" s="8" t="inlineStr">
        <is>
          <t xml:space="preserve">  Inventory</t>
        </is>
      </c>
      <c r="B32" s="12" t="n">
        <v>783.2</v>
      </c>
      <c r="C32" s="12" t="n">
        <v>807.8</v>
      </c>
      <c r="D32" s="12" t="n">
        <v>898</v>
      </c>
      <c r="E32" s="12" t="n">
        <v>678.1</v>
      </c>
      <c r="F32" s="12" t="n">
        <v>748.3</v>
      </c>
      <c r="G32" s="12" t="n">
        <v>758.4</v>
      </c>
      <c r="H32" s="12" t="n">
        <v>873.7</v>
      </c>
      <c r="I32" s="12" t="n">
        <v>697</v>
      </c>
      <c r="J32" s="12" t="n">
        <v>769.5</v>
      </c>
      <c r="K32" s="24">
        <f>K56*FS!K5/91</f>
        <v/>
      </c>
      <c r="L32" s="24">
        <f>L56*FS!L5/91</f>
        <v/>
      </c>
      <c r="M32" s="24">
        <f>M56*FS!M5/91</f>
        <v/>
      </c>
      <c r="N32" s="24">
        <f>N56*FS!N5/91</f>
        <v/>
      </c>
      <c r="O32" s="24">
        <f>O56*FS!O5/91</f>
        <v/>
      </c>
      <c r="P32" s="24">
        <f>P56*FS!P5/91</f>
        <v/>
      </c>
      <c r="Q32" s="24">
        <f>Q56*FS!Q5/91</f>
        <v/>
      </c>
      <c r="R32" s="24">
        <f>R56*FS!R5/91</f>
        <v/>
      </c>
      <c r="S32" s="2" t="n"/>
      <c r="T32" s="2" t="n"/>
      <c r="U32" s="13">
        <f>IF(ISBLANK(E32),"",E32)</f>
        <v/>
      </c>
      <c r="V32" s="13">
        <f>IF(ISBLANK(I32),"",I32)</f>
        <v/>
      </c>
      <c r="W32" s="13">
        <f>IF(ISBLANK(M32),"",M32)</f>
        <v/>
      </c>
      <c r="X32" s="13">
        <f>IF(ISBLANK(Q32),"",Q32)</f>
        <v/>
      </c>
      <c r="Y32" s="13">
        <f>IF(ISBLANK(R32),"",R32)</f>
        <v/>
      </c>
      <c r="Z32" s="2" t="n"/>
      <c r="AA32" s="2" t="n"/>
      <c r="AB32" s="20" t="inlineStr">
        <is>
          <t>COGS × DIO / 91</t>
        </is>
      </c>
    </row>
    <row r="33">
      <c r="A33" s="8" t="inlineStr">
        <is>
          <t xml:space="preserve">  Other CA</t>
        </is>
      </c>
      <c r="B33" s="12" t="n">
        <v>156.4</v>
      </c>
      <c r="C33" s="12" t="n">
        <v>135.2</v>
      </c>
      <c r="D33" s="12" t="n">
        <v>156.8</v>
      </c>
      <c r="E33" s="12" t="n">
        <v>140.4</v>
      </c>
      <c r="F33" s="12" t="n">
        <v>168.4</v>
      </c>
      <c r="G33" s="12" t="n">
        <v>165.3</v>
      </c>
      <c r="H33" s="12" t="n">
        <v>188.6</v>
      </c>
      <c r="I33" s="12" t="n">
        <v>170.1</v>
      </c>
      <c r="J33" s="12" t="n">
        <v>184.6</v>
      </c>
      <c r="K33" s="13">
        <f>J33</f>
        <v/>
      </c>
      <c r="L33" s="13">
        <f>K33</f>
        <v/>
      </c>
      <c r="M33" s="13">
        <f>L33</f>
        <v/>
      </c>
      <c r="N33" s="13">
        <f>M33</f>
        <v/>
      </c>
      <c r="O33" s="13">
        <f>N33</f>
        <v/>
      </c>
      <c r="P33" s="13">
        <f>O33</f>
        <v/>
      </c>
      <c r="Q33" s="13">
        <f>P33</f>
        <v/>
      </c>
      <c r="R33" s="13">
        <f>Q33</f>
        <v/>
      </c>
      <c r="S33" s="2" t="n"/>
      <c r="T33" s="2" t="n"/>
      <c r="U33" s="13">
        <f>IF(ISBLANK(E33),"",E33)</f>
        <v/>
      </c>
      <c r="V33" s="13">
        <f>IF(ISBLANK(I33),"",I33)</f>
        <v/>
      </c>
      <c r="W33" s="13">
        <f>IF(ISBLANK(M33),"",M33)</f>
        <v/>
      </c>
      <c r="X33" s="13">
        <f>IF(ISBLANK(Q33),"",Q33)</f>
        <v/>
      </c>
      <c r="Y33" s="13">
        <f>IF(ISBLANK(R33),"",R33)</f>
        <v/>
      </c>
      <c r="Z33" s="2" t="n"/>
      <c r="AA33" s="2" t="n"/>
      <c r="AB33" s="20" t="inlineStr">
        <is>
          <t>Held constant from prior  (roll-forward, NOT zeroed)</t>
        </is>
      </c>
    </row>
    <row r="34">
      <c r="A34" s="8" t="inlineStr">
        <is>
          <t>Current Assets</t>
        </is>
      </c>
      <c r="B34" s="14">
        <f>B30+B31+B32+B33</f>
        <v/>
      </c>
      <c r="C34" s="14">
        <f>C30+C31+C32+C33</f>
        <v/>
      </c>
      <c r="D34" s="14">
        <f>D30+D31+D32+D33</f>
        <v/>
      </c>
      <c r="E34" s="14">
        <f>E30+E31+E32+E33</f>
        <v/>
      </c>
      <c r="F34" s="14">
        <f>F30+F31+F32+F33</f>
        <v/>
      </c>
      <c r="G34" s="14">
        <f>G30+G31+G32+G33</f>
        <v/>
      </c>
      <c r="H34" s="14">
        <f>H30+H31+H32+H33</f>
        <v/>
      </c>
      <c r="I34" s="14">
        <f>I30+I31+I32+I33</f>
        <v/>
      </c>
      <c r="J34" s="14">
        <f>J30+J31+J32+J33</f>
        <v/>
      </c>
      <c r="K34" s="14">
        <f>K30+K31+K32+K33</f>
        <v/>
      </c>
      <c r="L34" s="14">
        <f>L30+L31+L32+L33</f>
        <v/>
      </c>
      <c r="M34" s="14">
        <f>M30+M31+M32+M33</f>
        <v/>
      </c>
      <c r="N34" s="14">
        <f>N30+N31+N32+N33</f>
        <v/>
      </c>
      <c r="O34" s="14">
        <f>O30+O31+O32+O33</f>
        <v/>
      </c>
      <c r="P34" s="14">
        <f>P30+P31+P32+P33</f>
        <v/>
      </c>
      <c r="Q34" s="14">
        <f>Q30+Q31+Q32+Q33</f>
        <v/>
      </c>
      <c r="R34" s="14">
        <f>R30+R31+R32+R33</f>
        <v/>
      </c>
      <c r="S34" s="2" t="n"/>
      <c r="T34" s="2" t="n"/>
      <c r="U34" s="13">
        <f>IF(ISBLANK(E34),"",E34)</f>
        <v/>
      </c>
      <c r="V34" s="13">
        <f>IF(ISBLANK(I34),"",I34)</f>
        <v/>
      </c>
      <c r="W34" s="13">
        <f>IF(ISBLANK(M34),"",M34)</f>
        <v/>
      </c>
      <c r="X34" s="13">
        <f>IF(ISBLANK(Q34),"",Q34)</f>
        <v/>
      </c>
      <c r="Y34" s="13">
        <f>IF(ISBLANK(R34),"",R34)</f>
        <v/>
      </c>
      <c r="Z34" s="2" t="n"/>
      <c r="AA34" s="2" t="n"/>
      <c r="AB34" s="20" t="inlineStr">
        <is>
          <t>Cash + AR + Inv + OtherCA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8" t="inlineStr">
        <is>
          <t xml:space="preserve">  PPE (rolled)</t>
        </is>
      </c>
      <c r="B36" s="12" t="n">
        <v>754.9</v>
      </c>
      <c r="C36" s="12" t="n">
        <v>745.8</v>
      </c>
      <c r="D36" s="12" t="n">
        <v>753</v>
      </c>
      <c r="E36" s="12" t="n">
        <v>750.6</v>
      </c>
      <c r="F36" s="12" t="n">
        <v>753.4</v>
      </c>
      <c r="G36" s="12" t="n">
        <v>760</v>
      </c>
      <c r="H36" s="12" t="n">
        <v>779.1</v>
      </c>
      <c r="I36" s="12" t="n">
        <v>755.7</v>
      </c>
      <c r="J36" s="12" t="n">
        <v>793</v>
      </c>
      <c r="K36" s="24">
        <f>J36-FS!K64-J36*FS!$B$100</f>
        <v/>
      </c>
      <c r="L36" s="24">
        <f>K36-FS!L64-K36*FS!$B$100</f>
        <v/>
      </c>
      <c r="M36" s="24">
        <f>L36-FS!M64-L36*FS!$B$100</f>
        <v/>
      </c>
      <c r="N36" s="24">
        <f>M36-FS!N64-M36*FS!$B$100</f>
        <v/>
      </c>
      <c r="O36" s="24">
        <f>N36-FS!O64-N36*FS!$B$100</f>
        <v/>
      </c>
      <c r="P36" s="24">
        <f>O36-FS!P64-O36*FS!$B$100</f>
        <v/>
      </c>
      <c r="Q36" s="24">
        <f>P36-FS!Q64-P36*FS!$B$100</f>
        <v/>
      </c>
      <c r="R36" s="24">
        <f>Q36-FS!R64-Q36*FS!$B$100</f>
        <v/>
      </c>
      <c r="S36" s="2" t="n"/>
      <c r="T36" s="2" t="n"/>
      <c r="U36" s="13">
        <f>IF(ISBLANK(E36),"",E36)</f>
        <v/>
      </c>
      <c r="V36" s="13">
        <f>IF(ISBLANK(I36),"",I36)</f>
        <v/>
      </c>
      <c r="W36" s="13">
        <f>IF(ISBLANK(M36),"",M36)</f>
        <v/>
      </c>
      <c r="X36" s="13">
        <f>IF(ISBLANK(Q36),"",Q36)</f>
        <v/>
      </c>
      <c r="Y36" s="13">
        <f>IF(ISBLANK(R36),"",R36)</f>
        <v/>
      </c>
      <c r="Z36" s="2" t="n"/>
      <c r="AA36" s="2" t="n"/>
      <c r="AB36" s="20" t="inlineStr">
        <is>
          <t>Prior PPE + Capex − D&amp;A (Prior PPE × 3.94%/Q  (calibrated to the disclosed guide 31億/Q at the latest PPE; rises with PPE thereafter))</t>
        </is>
      </c>
    </row>
    <row r="37">
      <c r="A37" s="8" t="inlineStr">
        <is>
          <t xml:space="preserve">  Other NCA</t>
        </is>
      </c>
      <c r="B37" s="19">
        <f>B38-B34-B36</f>
        <v/>
      </c>
      <c r="C37" s="19">
        <f>C38-C34-C36</f>
        <v/>
      </c>
      <c r="D37" s="19">
        <f>D38-D34-D36</f>
        <v/>
      </c>
      <c r="E37" s="19">
        <f>E38-E34-E36</f>
        <v/>
      </c>
      <c r="F37" s="19">
        <f>F38-F34-F36</f>
        <v/>
      </c>
      <c r="G37" s="19">
        <f>G38-G34-G36</f>
        <v/>
      </c>
      <c r="H37" s="19">
        <f>H38-H34-H36</f>
        <v/>
      </c>
      <c r="I37" s="19">
        <f>I38-I34-I36</f>
        <v/>
      </c>
      <c r="J37" s="19">
        <f>J38-J34-J36</f>
        <v/>
      </c>
      <c r="K37" s="13">
        <f>J37</f>
        <v/>
      </c>
      <c r="L37" s="13">
        <f>K37</f>
        <v/>
      </c>
      <c r="M37" s="13">
        <f>L37</f>
        <v/>
      </c>
      <c r="N37" s="13">
        <f>M37</f>
        <v/>
      </c>
      <c r="O37" s="13">
        <f>N37</f>
        <v/>
      </c>
      <c r="P37" s="13">
        <f>O37</f>
        <v/>
      </c>
      <c r="Q37" s="13">
        <f>P37</f>
        <v/>
      </c>
      <c r="R37" s="13">
        <f>Q37</f>
        <v/>
      </c>
      <c r="S37" s="2" t="n"/>
      <c r="T37" s="2" t="n"/>
      <c r="U37" s="13">
        <f>IF(ISBLANK(E37),"",E37)</f>
        <v/>
      </c>
      <c r="V37" s="13">
        <f>IF(ISBLANK(I37),"",I37)</f>
        <v/>
      </c>
      <c r="W37" s="13">
        <f>IF(ISBLANK(M37),"",M37)</f>
        <v/>
      </c>
      <c r="X37" s="13">
        <f>IF(ISBLANK(Q37),"",Q37)</f>
        <v/>
      </c>
      <c r="Y37" s="13">
        <f>IF(ISBLANK(R37),"",R37)</f>
        <v/>
      </c>
      <c r="Z37" s="2" t="n"/>
      <c r="AA37" s="2" t="n"/>
      <c r="AB37" s="20" t="inlineStr">
        <is>
          <t>Held constant from prior</t>
        </is>
      </c>
    </row>
    <row r="38">
      <c r="A38" s="8" t="inlineStr">
        <is>
          <t>TOTAL ASSETS</t>
        </is>
      </c>
      <c r="B38" s="32" t="n">
        <v>3157.7</v>
      </c>
      <c r="C38" s="32" t="n">
        <v>3141.6</v>
      </c>
      <c r="D38" s="32" t="n">
        <v>3349.5</v>
      </c>
      <c r="E38" s="32" t="n">
        <v>3413.5</v>
      </c>
      <c r="F38" s="32" t="n">
        <v>3245</v>
      </c>
      <c r="G38" s="32" t="n">
        <v>3289.9</v>
      </c>
      <c r="H38" s="32" t="n">
        <v>3567.2</v>
      </c>
      <c r="I38" s="32" t="n">
        <v>3736.7</v>
      </c>
      <c r="J38" s="32" t="n">
        <v>3610.7</v>
      </c>
      <c r="K38" s="15">
        <f>K34+K36+K37</f>
        <v/>
      </c>
      <c r="L38" s="15">
        <f>L34+L36+L37</f>
        <v/>
      </c>
      <c r="M38" s="15">
        <f>M34+M36+M37</f>
        <v/>
      </c>
      <c r="N38" s="15">
        <f>N34+N36+N37</f>
        <v/>
      </c>
      <c r="O38" s="15">
        <f>O34+O36+O37</f>
        <v/>
      </c>
      <c r="P38" s="15">
        <f>P34+P36+P37</f>
        <v/>
      </c>
      <c r="Q38" s="15">
        <f>Q34+Q36+Q37</f>
        <v/>
      </c>
      <c r="R38" s="15">
        <f>R34+R36+R37</f>
        <v/>
      </c>
      <c r="S38" s="2" t="n"/>
      <c r="T38" s="2" t="n"/>
      <c r="U38" s="13">
        <f>IF(ISBLANK(E38),"",E38)</f>
        <v/>
      </c>
      <c r="V38" s="13">
        <f>IF(ISBLANK(I38),"",I38)</f>
        <v/>
      </c>
      <c r="W38" s="13">
        <f>IF(ISBLANK(M38),"",M38)</f>
        <v/>
      </c>
      <c r="X38" s="13">
        <f>IF(ISBLANK(Q38),"",Q38)</f>
        <v/>
      </c>
      <c r="Y38" s="13">
        <f>IF(ISBLANK(R38),"",R38)</f>
        <v/>
      </c>
      <c r="Z38" s="14">
        <f>R38</f>
        <v/>
      </c>
      <c r="AA38" s="2" t="n"/>
      <c r="AB38" s="20" t="inlineStr">
        <is>
          <t>CA + PPE + OtherNCA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8" t="inlineStr">
        <is>
          <t xml:space="preserve">  Trade Payables</t>
        </is>
      </c>
      <c r="B40" s="12" t="n">
        <v>302.9</v>
      </c>
      <c r="C40" s="12" t="n">
        <v>316.6</v>
      </c>
      <c r="D40" s="12" t="n">
        <v>318.2</v>
      </c>
      <c r="E40" s="12" t="n">
        <v>345</v>
      </c>
      <c r="F40" s="12" t="n">
        <v>274.1</v>
      </c>
      <c r="G40" s="12" t="n">
        <v>282.2</v>
      </c>
      <c r="H40" s="12" t="n">
        <v>300.1</v>
      </c>
      <c r="I40" s="12" t="n">
        <v>335.6</v>
      </c>
      <c r="J40" s="12" t="n">
        <v>279.8</v>
      </c>
      <c r="K40" s="24">
        <f>K57*FS!K5/91</f>
        <v/>
      </c>
      <c r="L40" s="24">
        <f>L57*FS!L5/91</f>
        <v/>
      </c>
      <c r="M40" s="24">
        <f>M57*FS!M5/91</f>
        <v/>
      </c>
      <c r="N40" s="24">
        <f>N57*FS!N5/91</f>
        <v/>
      </c>
      <c r="O40" s="24">
        <f>O57*FS!O5/91</f>
        <v/>
      </c>
      <c r="P40" s="24">
        <f>P57*FS!P5/91</f>
        <v/>
      </c>
      <c r="Q40" s="24">
        <f>Q57*FS!Q5/91</f>
        <v/>
      </c>
      <c r="R40" s="24">
        <f>R57*FS!R5/91</f>
        <v/>
      </c>
      <c r="S40" s="2" t="n"/>
      <c r="T40" s="2" t="n"/>
      <c r="U40" s="13">
        <f>IF(ISBLANK(E40),"",E40)</f>
        <v/>
      </c>
      <c r="V40" s="13">
        <f>IF(ISBLANK(I40),"",I40)</f>
        <v/>
      </c>
      <c r="W40" s="13">
        <f>IF(ISBLANK(M40),"",M40)</f>
        <v/>
      </c>
      <c r="X40" s="13">
        <f>IF(ISBLANK(Q40),"",Q40)</f>
        <v/>
      </c>
      <c r="Y40" s="13">
        <f>IF(ISBLANK(R40),"",R40)</f>
        <v/>
      </c>
      <c r="Z40" s="2" t="n"/>
      <c r="AA40" s="2" t="n"/>
      <c r="AB40" s="20" t="inlineStr">
        <is>
          <t>COGS × DPO / 91  (or actual)</t>
        </is>
      </c>
    </row>
    <row r="41">
      <c r="A41" s="8" t="inlineStr">
        <is>
          <t xml:space="preserve">  Debt</t>
        </is>
      </c>
      <c r="B41" s="12" t="n">
        <v>429.7</v>
      </c>
      <c r="C41" s="12" t="n">
        <v>370.6</v>
      </c>
      <c r="D41" s="12" t="n">
        <v>368.2</v>
      </c>
      <c r="E41" s="12" t="n">
        <v>385.6</v>
      </c>
      <c r="F41" s="12" t="n">
        <v>389.1</v>
      </c>
      <c r="G41" s="12" t="n">
        <v>365.3</v>
      </c>
      <c r="H41" s="12" t="n">
        <v>377.7</v>
      </c>
      <c r="I41" s="12" t="n">
        <v>394</v>
      </c>
      <c r="J41" s="12" t="n">
        <v>388.7</v>
      </c>
      <c r="K41" s="24">
        <f>J41+FS!K77</f>
        <v/>
      </c>
      <c r="L41" s="24">
        <f>K41+FS!L77</f>
        <v/>
      </c>
      <c r="M41" s="24">
        <f>L41+FS!M77</f>
        <v/>
      </c>
      <c r="N41" s="24">
        <f>M41+FS!N77</f>
        <v/>
      </c>
      <c r="O41" s="24">
        <f>N41+FS!O77</f>
        <v/>
      </c>
      <c r="P41" s="24">
        <f>O41+FS!P77</f>
        <v/>
      </c>
      <c r="Q41" s="24">
        <f>P41+FS!Q77</f>
        <v/>
      </c>
      <c r="R41" s="24">
        <f>Q41+FS!R77</f>
        <v/>
      </c>
      <c r="S41" s="2" t="n"/>
      <c r="T41" s="2" t="n"/>
      <c r="U41" s="13">
        <f>IF(ISBLANK(E41),"",E41)</f>
        <v/>
      </c>
      <c r="V41" s="13">
        <f>IF(ISBLANK(I41),"",I41)</f>
        <v/>
      </c>
      <c r="W41" s="13">
        <f>IF(ISBLANK(M41),"",M41)</f>
        <v/>
      </c>
      <c r="X41" s="13">
        <f>IF(ISBLANK(Q41),"",Q41)</f>
        <v/>
      </c>
      <c r="Y41" s="13">
        <f>IF(ISBLANK(R41),"",R41)</f>
        <v/>
      </c>
      <c r="Z41" s="2" t="n"/>
      <c r="AA41" s="2" t="n"/>
      <c r="AB41" s="20" t="inlineStr">
        <is>
          <t>Prior Debt + Net Debt Issuance (held flat unless a schedule is set)</t>
        </is>
      </c>
    </row>
    <row r="42">
      <c r="A42" s="8" t="inlineStr">
        <is>
          <t xml:space="preserve">  Other Liab</t>
        </is>
      </c>
      <c r="B42" s="19">
        <f>B43-B40-B41</f>
        <v/>
      </c>
      <c r="C42" s="19">
        <f>C43-C40-C41</f>
        <v/>
      </c>
      <c r="D42" s="19">
        <f>D43-D40-D41</f>
        <v/>
      </c>
      <c r="E42" s="19">
        <f>E43-E40-E41</f>
        <v/>
      </c>
      <c r="F42" s="19">
        <f>F43-F40-F41</f>
        <v/>
      </c>
      <c r="G42" s="19">
        <f>G43-G40-G41</f>
        <v/>
      </c>
      <c r="H42" s="19">
        <f>H43-H40-H41</f>
        <v/>
      </c>
      <c r="I42" s="19">
        <f>I43-I40-I41</f>
        <v/>
      </c>
      <c r="J42" s="19">
        <f>J43-J40-J41</f>
        <v/>
      </c>
      <c r="K42" s="13">
        <f>J42</f>
        <v/>
      </c>
      <c r="L42" s="13">
        <f>K42</f>
        <v/>
      </c>
      <c r="M42" s="13">
        <f>L42</f>
        <v/>
      </c>
      <c r="N42" s="13">
        <f>M42</f>
        <v/>
      </c>
      <c r="O42" s="13">
        <f>N42</f>
        <v/>
      </c>
      <c r="P42" s="13">
        <f>O42</f>
        <v/>
      </c>
      <c r="Q42" s="13">
        <f>P42</f>
        <v/>
      </c>
      <c r="R42" s="13">
        <f>Q42</f>
        <v/>
      </c>
      <c r="S42" s="2" t="n"/>
      <c r="T42" s="2" t="n"/>
      <c r="U42" s="13">
        <f>IF(ISBLANK(E42),"",E42)</f>
        <v/>
      </c>
      <c r="V42" s="13">
        <f>IF(ISBLANK(I42),"",I42)</f>
        <v/>
      </c>
      <c r="W42" s="13">
        <f>IF(ISBLANK(M42),"",M42)</f>
        <v/>
      </c>
      <c r="X42" s="13">
        <f>IF(ISBLANK(Q42),"",Q42)</f>
        <v/>
      </c>
      <c r="Y42" s="13">
        <f>IF(ISBLANK(R42),"",R42)</f>
        <v/>
      </c>
      <c r="Z42" s="2" t="n"/>
      <c r="AA42" s="2" t="n"/>
      <c r="AB42" s="20" t="inlineStr">
        <is>
          <t>Held constant from prior  (roll-forward)</t>
        </is>
      </c>
    </row>
    <row r="43">
      <c r="A43" s="8" t="inlineStr">
        <is>
          <t>TOTAL LIAB</t>
        </is>
      </c>
      <c r="B43" s="32" t="n">
        <v>1866.3</v>
      </c>
      <c r="C43" s="32" t="n">
        <v>1877.8</v>
      </c>
      <c r="D43" s="32" t="n">
        <v>2033.2</v>
      </c>
      <c r="E43" s="32" t="n">
        <v>1991.3</v>
      </c>
      <c r="F43" s="32" t="n">
        <v>1841.3</v>
      </c>
      <c r="G43" s="32" t="n">
        <v>1830.1</v>
      </c>
      <c r="H43" s="32" t="n">
        <v>2000.2</v>
      </c>
      <c r="I43" s="32" t="n">
        <v>1951.4</v>
      </c>
      <c r="J43" s="32" t="n">
        <v>1801.5</v>
      </c>
      <c r="K43" s="15">
        <f>K40+K41+K42</f>
        <v/>
      </c>
      <c r="L43" s="15">
        <f>L40+L41+L42</f>
        <v/>
      </c>
      <c r="M43" s="15">
        <f>M40+M41+M42</f>
        <v/>
      </c>
      <c r="N43" s="15">
        <f>N40+N41+N42</f>
        <v/>
      </c>
      <c r="O43" s="15">
        <f>O40+O41+O42</f>
        <v/>
      </c>
      <c r="P43" s="15">
        <f>P40+P41+P42</f>
        <v/>
      </c>
      <c r="Q43" s="15">
        <f>Q40+Q41+Q42</f>
        <v/>
      </c>
      <c r="R43" s="15">
        <f>R40+R41+R42</f>
        <v/>
      </c>
      <c r="S43" s="2" t="n"/>
      <c r="T43" s="2" t="n"/>
      <c r="U43" s="13">
        <f>IF(ISBLANK(E43),"",E43)</f>
        <v/>
      </c>
      <c r="V43" s="13">
        <f>IF(ISBLANK(I43),"",I43)</f>
        <v/>
      </c>
      <c r="W43" s="13">
        <f>IF(ISBLANK(M43),"",M43)</f>
        <v/>
      </c>
      <c r="X43" s="13">
        <f>IF(ISBLANK(Q43),"",Q43)</f>
        <v/>
      </c>
      <c r="Y43" s="13">
        <f>IF(ISBLANK(R43),"",R43)</f>
        <v/>
      </c>
      <c r="Z43" s="2" t="n"/>
      <c r="AA43" s="2" t="n"/>
      <c r="AB43" s="20" t="inlineStr">
        <is>
          <t>AP + Debt + OtherL  (independent components)</t>
        </is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8" t="inlineStr">
        <is>
          <t>Shareholders Eq</t>
        </is>
      </c>
      <c r="B45" s="32" t="n">
        <v>1259.9</v>
      </c>
      <c r="C45" s="32" t="n">
        <v>1231.5</v>
      </c>
      <c r="D45" s="32" t="n">
        <v>1282.8</v>
      </c>
      <c r="E45" s="32" t="n">
        <v>1389.3</v>
      </c>
      <c r="F45" s="32" t="n">
        <v>1369.4</v>
      </c>
      <c r="G45" s="32" t="n">
        <v>1424.5</v>
      </c>
      <c r="H45" s="32" t="n">
        <v>1533.9</v>
      </c>
      <c r="I45" s="32" t="n">
        <v>1748.8</v>
      </c>
      <c r="J45" s="32" t="n">
        <v>1772.8</v>
      </c>
      <c r="K45" s="23">
        <f>J45+FS!K18-FS!K23*FS!K21/100-FS!K76</f>
        <v/>
      </c>
      <c r="L45" s="23">
        <f>K45+FS!L18-FS!L23*FS!L21/100-FS!L76</f>
        <v/>
      </c>
      <c r="M45" s="23">
        <f>L45+FS!M18-FS!M23*FS!M21/100-FS!M76</f>
        <v/>
      </c>
      <c r="N45" s="23">
        <f>M45+FS!N18-FS!N23*FS!N21/100-FS!N76</f>
        <v/>
      </c>
      <c r="O45" s="23">
        <f>N45+FS!O18-FS!O23*FS!O21/100-FS!O76</f>
        <v/>
      </c>
      <c r="P45" s="23">
        <f>O45+FS!P18-FS!P23*FS!P21/100-FS!P76</f>
        <v/>
      </c>
      <c r="Q45" s="23">
        <f>P45+FS!Q18-FS!Q23*FS!Q21/100-FS!Q76</f>
        <v/>
      </c>
      <c r="R45" s="23">
        <f>Q45+FS!R18-FS!R23*FS!R21/100-FS!R76</f>
        <v/>
      </c>
      <c r="S45" s="2" t="n"/>
      <c r="T45" s="2" t="n"/>
      <c r="U45" s="13">
        <f>IF(ISBLANK(E45),"",E45)</f>
        <v/>
      </c>
      <c r="V45" s="13">
        <f>IF(ISBLANK(I45),"",I45)</f>
        <v/>
      </c>
      <c r="W45" s="13">
        <f>IF(ISBLANK(M45),"",M45)</f>
        <v/>
      </c>
      <c r="X45" s="13">
        <f>IF(ISBLANK(Q45),"",Q45)</f>
        <v/>
      </c>
      <c r="Y45" s="13">
        <f>IF(ISBLANK(R45),"",R45)</f>
        <v/>
      </c>
      <c r="Z45" s="14">
        <f>R45</f>
        <v/>
      </c>
      <c r="AA45" s="2" t="n"/>
      <c r="AB45" s="20" t="inlineStr">
        <is>
          <t>Prior Eq + NI − Dividends − Buyback</t>
        </is>
      </c>
    </row>
    <row r="46">
      <c r="A46" s="8" t="inlineStr">
        <is>
          <t xml:space="preserve">  Retained Earnings</t>
        </is>
      </c>
      <c r="B46" s="12" t="n">
        <v>773.9</v>
      </c>
      <c r="C46" s="12" t="n">
        <v>784.7</v>
      </c>
      <c r="D46" s="12" t="n">
        <v>807.2</v>
      </c>
      <c r="E46" s="12" t="n">
        <v>932.7</v>
      </c>
      <c r="F46" s="12" t="n">
        <v>897.5</v>
      </c>
      <c r="G46" s="12" t="n">
        <v>913.1</v>
      </c>
      <c r="H46" s="12" t="n">
        <v>967.9</v>
      </c>
      <c r="I46" s="12" t="n">
        <v>1107.7</v>
      </c>
      <c r="J46" s="12" t="n">
        <v>1108.4</v>
      </c>
      <c r="K46" s="24">
        <f>J46+FS!K18-FS!K75-FS!K76</f>
        <v/>
      </c>
      <c r="L46" s="24">
        <f>K46+FS!L18-FS!L75-FS!L76</f>
        <v/>
      </c>
      <c r="M46" s="24">
        <f>L46+FS!M18-FS!M75-FS!M76</f>
        <v/>
      </c>
      <c r="N46" s="24">
        <f>M46+FS!N18-FS!N75-FS!N76</f>
        <v/>
      </c>
      <c r="O46" s="24">
        <f>N46+FS!O18-FS!O75-FS!O76</f>
        <v/>
      </c>
      <c r="P46" s="24">
        <f>O46+FS!P18-FS!P75-FS!P76</f>
        <v/>
      </c>
      <c r="Q46" s="24">
        <f>P46+FS!Q18-FS!Q75-FS!Q76</f>
        <v/>
      </c>
      <c r="R46" s="24">
        <f>Q46+FS!R18-FS!R75-FS!R76</f>
        <v/>
      </c>
      <c r="S46" s="2" t="n"/>
      <c r="T46" s="2" t="n"/>
      <c r="U46" s="13">
        <f>IF(ISBLANK(E46),"",E46)</f>
        <v/>
      </c>
      <c r="V46" s="13">
        <f>IF(ISBLANK(I46),"",I46)</f>
        <v/>
      </c>
      <c r="W46" s="13">
        <f>IF(ISBLANK(M46),"",M46)</f>
        <v/>
      </c>
      <c r="X46" s="13">
        <f>IF(ISBLANK(Q46),"",Q46)</f>
        <v/>
      </c>
      <c r="Y46" s="13">
        <f>IF(ISBLANK(R46),"",R46)</f>
        <v/>
      </c>
      <c r="Z46" s="2" t="n"/>
      <c r="AA46" s="2" t="n"/>
      <c r="AB46" s="20" t="inlineStr">
        <is>
          <t>Prior RE + NI − Dividends − Buyback</t>
        </is>
      </c>
    </row>
    <row r="47">
      <c r="A47" s="8" t="inlineStr">
        <is>
          <t xml:space="preserve">  Non-controlling</t>
        </is>
      </c>
      <c r="B47" s="12" t="n">
        <v>31.5</v>
      </c>
      <c r="C47" s="12" t="n">
        <v>32.3</v>
      </c>
      <c r="D47" s="12" t="n">
        <v>33.4</v>
      </c>
      <c r="E47" s="12" t="n">
        <v>32.8</v>
      </c>
      <c r="F47" s="12" t="n">
        <v>34.3</v>
      </c>
      <c r="G47" s="12" t="n">
        <v>35.3</v>
      </c>
      <c r="H47" s="12" t="n">
        <v>33.1</v>
      </c>
      <c r="I47" s="12" t="n">
        <v>36.5</v>
      </c>
      <c r="J47" s="12" t="n">
        <v>36.4</v>
      </c>
      <c r="K47" s="19">
        <f>J47</f>
        <v/>
      </c>
      <c r="L47" s="19">
        <f>K47</f>
        <v/>
      </c>
      <c r="M47" s="19">
        <f>L47</f>
        <v/>
      </c>
      <c r="N47" s="19">
        <f>M47</f>
        <v/>
      </c>
      <c r="O47" s="19">
        <f>N47</f>
        <v/>
      </c>
      <c r="P47" s="19">
        <f>O47</f>
        <v/>
      </c>
      <c r="Q47" s="19">
        <f>P47</f>
        <v/>
      </c>
      <c r="R47" s="19">
        <f>Q47</f>
        <v/>
      </c>
      <c r="S47" s="2" t="n"/>
      <c r="T47" s="2" t="n"/>
      <c r="U47" s="13">
        <f>IF(ISBLANK(E47),"",E47)</f>
        <v/>
      </c>
      <c r="V47" s="13">
        <f>IF(ISBLANK(I47),"",I47)</f>
        <v/>
      </c>
      <c r="W47" s="13">
        <f>IF(ISBLANK(M47),"",M47)</f>
        <v/>
      </c>
      <c r="X47" s="13">
        <f>IF(ISBLANK(Q47),"",Q47)</f>
        <v/>
      </c>
      <c r="Y47" s="13">
        <f>IF(ISBLANK(R47),"",R47)</f>
        <v/>
      </c>
      <c r="Z47" s="2" t="n"/>
      <c r="AA47" s="2" t="n"/>
      <c r="AB47" s="20" t="inlineStr">
        <is>
          <t>Held constant from prior  (roll-forward, NOT zeroed)</t>
        </is>
      </c>
    </row>
    <row r="48">
      <c r="A48" s="8" t="inlineStr">
        <is>
          <t>TOTAL EQUITY</t>
        </is>
      </c>
      <c r="B48" s="14">
        <f>B45+B47</f>
        <v/>
      </c>
      <c r="C48" s="14">
        <f>C45+C47</f>
        <v/>
      </c>
      <c r="D48" s="14">
        <f>D45+D47</f>
        <v/>
      </c>
      <c r="E48" s="14">
        <f>E45+E47</f>
        <v/>
      </c>
      <c r="F48" s="14">
        <f>F45+F47</f>
        <v/>
      </c>
      <c r="G48" s="14">
        <f>G45+G47</f>
        <v/>
      </c>
      <c r="H48" s="14">
        <f>H45+H47</f>
        <v/>
      </c>
      <c r="I48" s="14">
        <f>I45+I47</f>
        <v/>
      </c>
      <c r="J48" s="14">
        <f>J45+J47</f>
        <v/>
      </c>
      <c r="K48" s="14">
        <f>K45+K47</f>
        <v/>
      </c>
      <c r="L48" s="14">
        <f>L45+L47</f>
        <v/>
      </c>
      <c r="M48" s="14">
        <f>M45+M47</f>
        <v/>
      </c>
      <c r="N48" s="14">
        <f>N45+N47</f>
        <v/>
      </c>
      <c r="O48" s="14">
        <f>O45+O47</f>
        <v/>
      </c>
      <c r="P48" s="14">
        <f>P45+P47</f>
        <v/>
      </c>
      <c r="Q48" s="14">
        <f>Q45+Q47</f>
        <v/>
      </c>
      <c r="R48" s="14">
        <f>R45+R47</f>
        <v/>
      </c>
      <c r="S48" s="2" t="n"/>
      <c r="T48" s="2" t="n"/>
      <c r="U48" s="13">
        <f>IF(ISBLANK(E48),"",E48)</f>
        <v/>
      </c>
      <c r="V48" s="13">
        <f>IF(ISBLANK(I48),"",I48)</f>
        <v/>
      </c>
      <c r="W48" s="13">
        <f>IF(ISBLANK(M48),"",M48)</f>
        <v/>
      </c>
      <c r="X48" s="13">
        <f>IF(ISBLANK(Q48),"",Q48)</f>
        <v/>
      </c>
      <c r="Y48" s="13">
        <f>IF(ISBLANK(R48),"",R48)</f>
        <v/>
      </c>
      <c r="Z48" s="2" t="n"/>
      <c r="AA48" s="2" t="n"/>
      <c r="AB48" s="20" t="inlineStr">
        <is>
          <t>Eq + NCI</t>
        </is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8" t="inlineStr">
        <is>
          <t>BS Check (TA-TL-TE)</t>
        </is>
      </c>
      <c r="B50" s="84">
        <f>B38-B43-B48</f>
        <v/>
      </c>
      <c r="C50" s="84">
        <f>C38-C43-C48</f>
        <v/>
      </c>
      <c r="D50" s="84">
        <f>D38-D43-D48</f>
        <v/>
      </c>
      <c r="E50" s="84">
        <f>E38-E43-E48</f>
        <v/>
      </c>
      <c r="F50" s="84">
        <f>F38-F43-F48</f>
        <v/>
      </c>
      <c r="G50" s="84">
        <f>G38-G43-G48</f>
        <v/>
      </c>
      <c r="H50" s="84">
        <f>H38-H43-H48</f>
        <v/>
      </c>
      <c r="I50" s="84">
        <f>I38-I43-I48</f>
        <v/>
      </c>
      <c r="J50" s="84">
        <f>J38-J43-J48</f>
        <v/>
      </c>
      <c r="K50" s="84">
        <f>K38-K43-K48</f>
        <v/>
      </c>
      <c r="L50" s="84">
        <f>L38-L43-L48</f>
        <v/>
      </c>
      <c r="M50" s="84">
        <f>M38-M43-M48</f>
        <v/>
      </c>
      <c r="N50" s="84">
        <f>N38-N43-N48</f>
        <v/>
      </c>
      <c r="O50" s="84">
        <f>O38-O43-O48</f>
        <v/>
      </c>
      <c r="P50" s="84">
        <f>P38-P43-P48</f>
        <v/>
      </c>
      <c r="Q50" s="84">
        <f>Q38-Q43-Q48</f>
        <v/>
      </c>
      <c r="R50" s="84">
        <f>R38-R43-R48</f>
        <v/>
      </c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0" t="inlineStr">
        <is>
          <t>TA − TL − TE  (must = 0; non-zero ⇒ roll-forward inconsistency)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</row>
    <row r="53">
      <c r="A53" s="34" t="inlineStr">
        <is>
          <t>WC Days (Historical = formula from BS÷PL; Forecast = key input)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n"/>
      <c r="B54" s="5" t="inlineStr">
        <is>
          <t>FY24Q1</t>
        </is>
      </c>
      <c r="C54" s="5" t="inlineStr">
        <is>
          <t>FY24Q2</t>
        </is>
      </c>
      <c r="D54" s="5" t="inlineStr">
        <is>
          <t>FY24Q3</t>
        </is>
      </c>
      <c r="E54" s="5" t="inlineStr">
        <is>
          <t>FY24Q4</t>
        </is>
      </c>
      <c r="F54" s="5" t="inlineStr">
        <is>
          <t>FY25Q1</t>
        </is>
      </c>
      <c r="G54" s="5" t="inlineStr">
        <is>
          <t>FY25Q2</t>
        </is>
      </c>
      <c r="H54" s="5" t="inlineStr">
        <is>
          <t>FY25Q3</t>
        </is>
      </c>
      <c r="I54" s="5" t="inlineStr">
        <is>
          <t>FY25Q4</t>
        </is>
      </c>
      <c r="J54" s="5" t="inlineStr">
        <is>
          <t>FY26Q1</t>
        </is>
      </c>
      <c r="K54" s="6" t="inlineStr">
        <is>
          <t>FY26Q2</t>
        </is>
      </c>
      <c r="L54" s="6" t="inlineStr">
        <is>
          <t>FY26Q3</t>
        </is>
      </c>
      <c r="M54" s="6" t="inlineStr">
        <is>
          <t>FY26Q4</t>
        </is>
      </c>
      <c r="N54" s="6" t="inlineStr">
        <is>
          <t>FY27Q1</t>
        </is>
      </c>
      <c r="O54" s="6" t="inlineStr">
        <is>
          <t>FY27Q2</t>
        </is>
      </c>
      <c r="P54" s="6" t="inlineStr">
        <is>
          <t>FY27Q3</t>
        </is>
      </c>
      <c r="Q54" s="6" t="inlineStr">
        <is>
          <t>FY27Q4</t>
        </is>
      </c>
      <c r="R54" s="6" t="inlineStr">
        <is>
          <t>FY28Q1</t>
        </is>
      </c>
      <c r="S54" s="2" t="n"/>
      <c r="T54" s="2" t="n"/>
      <c r="U54" s="7" t="inlineStr">
        <is>
          <t>FY24</t>
        </is>
      </c>
      <c r="V54" s="7" t="inlineStr">
        <is>
          <t>FY25</t>
        </is>
      </c>
      <c r="W54" s="7" t="inlineStr">
        <is>
          <t>FY26</t>
        </is>
      </c>
      <c r="X54" s="7" t="inlineStr">
        <is>
          <t>FY27</t>
        </is>
      </c>
      <c r="Y54" s="7" t="inlineStr">
        <is>
          <t>FY28</t>
        </is>
      </c>
      <c r="Z54" s="2" t="n"/>
      <c r="AA54" s="2" t="n"/>
      <c r="AB54" s="2" t="n"/>
    </row>
    <row r="55">
      <c r="A55" s="8" t="inlineStr">
        <is>
          <t>DSO (AR÷Sales×91)</t>
        </is>
      </c>
      <c r="B55" s="85">
        <f>FS!B31/FS!B4*91</f>
        <v/>
      </c>
      <c r="C55" s="85">
        <f>FS!C31/FS!C4*91</f>
        <v/>
      </c>
      <c r="D55" s="85">
        <f>FS!D31/FS!D4*91</f>
        <v/>
      </c>
      <c r="E55" s="85">
        <f>FS!E31/FS!E4*91</f>
        <v/>
      </c>
      <c r="F55" s="85">
        <f>FS!F31/FS!F4*91</f>
        <v/>
      </c>
      <c r="G55" s="85">
        <f>FS!G31/FS!G4*91</f>
        <v/>
      </c>
      <c r="H55" s="85">
        <f>FS!H31/FS!H4*91</f>
        <v/>
      </c>
      <c r="I55" s="85">
        <f>FS!I31/FS!I4*91</f>
        <v/>
      </c>
      <c r="J55" s="85">
        <f>FS!J31/FS!J4*91</f>
        <v/>
      </c>
      <c r="K55" s="86" t="n">
        <v>98</v>
      </c>
      <c r="L55" s="86" t="n">
        <v>107</v>
      </c>
      <c r="M55" s="86" t="n">
        <v>88</v>
      </c>
      <c r="N55" s="86" t="n">
        <v>112</v>
      </c>
      <c r="O55" s="86" t="n">
        <v>98</v>
      </c>
      <c r="P55" s="86" t="n">
        <v>107</v>
      </c>
      <c r="Q55" s="86" t="n">
        <v>88</v>
      </c>
      <c r="R55" s="86" t="n">
        <v>112</v>
      </c>
      <c r="S55" s="2" t="n"/>
      <c r="T55" s="2" t="n"/>
      <c r="U55" s="87">
        <f>IF(ISBLANK(E55),"",E55)</f>
        <v/>
      </c>
      <c r="V55" s="87">
        <f>IF(ISBLANK(I55),"",I55)</f>
        <v/>
      </c>
      <c r="W55" s="87">
        <f>IF(ISBLANK(M55),"",M55)</f>
        <v/>
      </c>
      <c r="X55" s="87">
        <f>IF(ISBLANK(Q55),"",Q55)</f>
        <v/>
      </c>
      <c r="Y55" s="87">
        <f>IF(ISBLANK(R55),"",R55)</f>
        <v/>
      </c>
      <c r="Z55" s="2" t="n"/>
      <c r="AA55" s="2" t="n"/>
      <c r="AB55" s="20" t="inlineStr">
        <is>
          <t>Key user input (yellow); historical = AR ÷ Sales × 91</t>
        </is>
      </c>
    </row>
    <row r="56">
      <c r="A56" s="8" t="inlineStr">
        <is>
          <t>DIO (Inv÷COGS×91)</t>
        </is>
      </c>
      <c r="B56" s="85">
        <f>FS!B32/FS!B5*91</f>
        <v/>
      </c>
      <c r="C56" s="85">
        <f>FS!C32/FS!C5*91</f>
        <v/>
      </c>
      <c r="D56" s="85">
        <f>FS!D32/FS!D5*91</f>
        <v/>
      </c>
      <c r="E56" s="85">
        <f>FS!E32/FS!E5*91</f>
        <v/>
      </c>
      <c r="F56" s="85">
        <f>FS!F32/FS!F5*91</f>
        <v/>
      </c>
      <c r="G56" s="85">
        <f>FS!G32/FS!G5*91</f>
        <v/>
      </c>
      <c r="H56" s="85">
        <f>FS!H32/FS!H5*91</f>
        <v/>
      </c>
      <c r="I56" s="85">
        <f>FS!I32/FS!I5*91</f>
        <v/>
      </c>
      <c r="J56" s="85">
        <f>FS!J32/FS!J5*91</f>
        <v/>
      </c>
      <c r="K56" s="86" t="n">
        <v>129</v>
      </c>
      <c r="L56" s="86" t="n">
        <v>153</v>
      </c>
      <c r="M56" s="86" t="n">
        <v>75</v>
      </c>
      <c r="N56" s="86" t="n">
        <v>145</v>
      </c>
      <c r="O56" s="86" t="n">
        <v>129</v>
      </c>
      <c r="P56" s="86" t="n">
        <v>153</v>
      </c>
      <c r="Q56" s="86" t="n">
        <v>75</v>
      </c>
      <c r="R56" s="86" t="n">
        <v>145</v>
      </c>
      <c r="S56" s="2" t="n"/>
      <c r="T56" s="2" t="n"/>
      <c r="U56" s="87">
        <f>IF(ISBLANK(E56),"",E56)</f>
        <v/>
      </c>
      <c r="V56" s="87">
        <f>IF(ISBLANK(I56),"",I56)</f>
        <v/>
      </c>
      <c r="W56" s="87">
        <f>IF(ISBLANK(M56),"",M56)</f>
        <v/>
      </c>
      <c r="X56" s="87">
        <f>IF(ISBLANK(Q56),"",Q56)</f>
        <v/>
      </c>
      <c r="Y56" s="87">
        <f>IF(ISBLANK(R56),"",R56)</f>
        <v/>
      </c>
      <c r="Z56" s="2" t="n"/>
      <c r="AA56" s="2" t="n"/>
      <c r="AB56" s="20" t="inlineStr">
        <is>
          <t>Key user input (yellow); historical = Inv ÷ COGS × 91</t>
        </is>
      </c>
    </row>
    <row r="57">
      <c r="A57" s="8" t="inlineStr">
        <is>
          <t>DPO (AP÷COGS×91)</t>
        </is>
      </c>
      <c r="B57" s="85">
        <f>FS!B40/FS!B5*91</f>
        <v/>
      </c>
      <c r="C57" s="85">
        <f>FS!C40/FS!C5*91</f>
        <v/>
      </c>
      <c r="D57" s="85">
        <f>FS!D40/FS!D5*91</f>
        <v/>
      </c>
      <c r="E57" s="85">
        <f>FS!E40/FS!E5*91</f>
        <v/>
      </c>
      <c r="F57" s="85">
        <f>FS!F40/FS!F5*91</f>
        <v/>
      </c>
      <c r="G57" s="85">
        <f>FS!G40/FS!G5*91</f>
        <v/>
      </c>
      <c r="H57" s="85">
        <f>FS!H40/FS!H5*91</f>
        <v/>
      </c>
      <c r="I57" s="85">
        <f>FS!I40/FS!I5*91</f>
        <v/>
      </c>
      <c r="J57" s="85">
        <f>FS!J40/FS!J5*91</f>
        <v/>
      </c>
      <c r="K57" s="86" t="n">
        <v>59</v>
      </c>
      <c r="L57" s="86" t="n">
        <v>63</v>
      </c>
      <c r="M57" s="86" t="n">
        <v>43</v>
      </c>
      <c r="N57" s="86" t="n">
        <v>66</v>
      </c>
      <c r="O57" s="86" t="n">
        <v>59</v>
      </c>
      <c r="P57" s="86" t="n">
        <v>63</v>
      </c>
      <c r="Q57" s="86" t="n">
        <v>43</v>
      </c>
      <c r="R57" s="86" t="n">
        <v>66</v>
      </c>
      <c r="S57" s="2" t="n"/>
      <c r="T57" s="2" t="n"/>
      <c r="U57" s="87">
        <f>IF(ISBLANK(E57),"",E57)</f>
        <v/>
      </c>
      <c r="V57" s="87">
        <f>IF(ISBLANK(I57),"",I57)</f>
        <v/>
      </c>
      <c r="W57" s="87">
        <f>IF(ISBLANK(M57),"",M57)</f>
        <v/>
      </c>
      <c r="X57" s="87">
        <f>IF(ISBLANK(Q57),"",Q57)</f>
        <v/>
      </c>
      <c r="Y57" s="87">
        <f>IF(ISBLANK(R57),"",R57)</f>
        <v/>
      </c>
      <c r="Z57" s="2" t="n"/>
      <c r="AA57" s="2" t="n"/>
      <c r="AB57" s="20" t="inlineStr">
        <is>
          <t>Key user input (yellow); historical = AP ÷ COGS × 91</t>
        </is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17" t="inlineStr">
        <is>
          <t>Cash Flow (億) — JP cos report CF only at H1+FY. BLUE=actual, BLACK=formula, GREEN=cross-sheet, ORANGE=disclosed-FY.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11" t="inlineStr">
        <is>
          <t>Line Item</t>
        </is>
      </c>
      <c r="B62" s="5" t="inlineStr">
        <is>
          <t>FY24Q1</t>
        </is>
      </c>
      <c r="C62" s="5" t="inlineStr">
        <is>
          <t>FY24Q2</t>
        </is>
      </c>
      <c r="D62" s="5" t="inlineStr">
        <is>
          <t>FY24Q3</t>
        </is>
      </c>
      <c r="E62" s="5" t="inlineStr">
        <is>
          <t>FY24Q4</t>
        </is>
      </c>
      <c r="F62" s="5" t="inlineStr">
        <is>
          <t>FY25Q1</t>
        </is>
      </c>
      <c r="G62" s="5" t="inlineStr">
        <is>
          <t>FY25Q2</t>
        </is>
      </c>
      <c r="H62" s="5" t="inlineStr">
        <is>
          <t>FY25Q3</t>
        </is>
      </c>
      <c r="I62" s="5" t="inlineStr">
        <is>
          <t>FY25Q4</t>
        </is>
      </c>
      <c r="J62" s="5" t="inlineStr">
        <is>
          <t>FY26Q1</t>
        </is>
      </c>
      <c r="K62" s="6" t="inlineStr">
        <is>
          <t>FY26Q2</t>
        </is>
      </c>
      <c r="L62" s="6" t="inlineStr">
        <is>
          <t>FY26Q3</t>
        </is>
      </c>
      <c r="M62" s="6" t="inlineStr">
        <is>
          <t>FY26Q4</t>
        </is>
      </c>
      <c r="N62" s="6" t="inlineStr">
        <is>
          <t>FY27Q1</t>
        </is>
      </c>
      <c r="O62" s="6" t="inlineStr">
        <is>
          <t>FY27Q2</t>
        </is>
      </c>
      <c r="P62" s="6" t="inlineStr">
        <is>
          <t>FY27Q3</t>
        </is>
      </c>
      <c r="Q62" s="6" t="inlineStr">
        <is>
          <t>FY27Q4</t>
        </is>
      </c>
      <c r="R62" s="6" t="inlineStr">
        <is>
          <t>FY28Q1</t>
        </is>
      </c>
      <c r="S62" s="2" t="n"/>
      <c r="T62" s="2" t="n"/>
      <c r="U62" s="5" t="inlineStr">
        <is>
          <t>FY24</t>
        </is>
      </c>
      <c r="V62" s="5" t="inlineStr">
        <is>
          <t>FY25</t>
        </is>
      </c>
      <c r="W62" s="7" t="inlineStr">
        <is>
          <t>FY26</t>
        </is>
      </c>
      <c r="X62" s="7" t="inlineStr">
        <is>
          <t>FY27</t>
        </is>
      </c>
      <c r="Y62" s="7" t="inlineStr">
        <is>
          <t>FY28</t>
        </is>
      </c>
      <c r="Z62" s="7" t="inlineStr">
        <is>
          <t>FY26 TOTAL</t>
        </is>
      </c>
      <c r="AA62" s="2" t="n"/>
      <c r="AB62" s="18" t="inlineStr">
        <is>
          <t>Forecast Formula (plain English)</t>
        </is>
      </c>
    </row>
    <row r="63">
      <c r="A63" s="8" t="inlineStr">
        <is>
          <t>OCF (営業CF)</t>
        </is>
      </c>
      <c r="B63" s="32" t="n">
        <v>231.2</v>
      </c>
      <c r="C63" s="32" t="n">
        <v>-26</v>
      </c>
      <c r="D63" s="32" t="n">
        <v>7.5</v>
      </c>
      <c r="E63" s="32" t="n">
        <v>141.9</v>
      </c>
      <c r="F63" s="32" t="n">
        <v>232.7</v>
      </c>
      <c r="G63" s="32" t="n">
        <v>-47.6</v>
      </c>
      <c r="H63" s="32" t="n">
        <v>-104.2</v>
      </c>
      <c r="I63" s="32" t="n">
        <v>94</v>
      </c>
      <c r="J63" s="32" t="n">
        <v>307</v>
      </c>
      <c r="K63" s="15">
        <f>K69+K70+K71</f>
        <v/>
      </c>
      <c r="L63" s="15">
        <f>L69+L70+L71</f>
        <v/>
      </c>
      <c r="M63" s="15">
        <f>M69+M70+M71</f>
        <v/>
      </c>
      <c r="N63" s="15">
        <f>N69+N70+N71</f>
        <v/>
      </c>
      <c r="O63" s="15">
        <f>O69+O70+O71</f>
        <v/>
      </c>
      <c r="P63" s="15">
        <f>P69+P70+P71</f>
        <v/>
      </c>
      <c r="Q63" s="15">
        <f>Q69+Q70+Q71</f>
        <v/>
      </c>
      <c r="R63" s="15">
        <f>R69+R70+R71</f>
        <v/>
      </c>
      <c r="S63" s="2" t="n"/>
      <c r="T63" s="2" t="n"/>
      <c r="U63" s="38" t="n">
        <v>354.5</v>
      </c>
      <c r="V63" s="38" t="n">
        <v>175</v>
      </c>
      <c r="W63" s="15">
        <f>IF(AND(ISBLANK(K63),ISBLANK(M63)),"",SUM(J63:M63))</f>
        <v/>
      </c>
      <c r="X63" s="15">
        <f>IF(AND(ISBLANK(O63),ISBLANK(Q63)),"",SUM(N63:Q63))</f>
        <v/>
      </c>
      <c r="Y63" s="15">
        <f>IF(COUNTBLANK(R63:R63)&gt;0,"",SUM(R63:R63))</f>
        <v/>
      </c>
      <c r="Z63" s="14">
        <f>K63+L63+M63+N63+O63+P63+Q63+R63</f>
        <v/>
      </c>
      <c r="AA63" s="2" t="n"/>
      <c r="AB63" s="20" t="inlineStr">
        <is>
          <t>NI + D&amp;A + ΔWC</t>
        </is>
      </c>
    </row>
    <row r="64">
      <c r="A64" s="8" t="inlineStr">
        <is>
          <t>ICF (投資CF)</t>
        </is>
      </c>
      <c r="B64" s="32" t="n">
        <v>-1.1</v>
      </c>
      <c r="C64" s="32" t="n">
        <v>-26.7</v>
      </c>
      <c r="D64" s="32" t="n">
        <v>-24</v>
      </c>
      <c r="E64" s="32" t="n">
        <v>-38.8</v>
      </c>
      <c r="F64" s="32" t="n">
        <v>-56.5</v>
      </c>
      <c r="G64" s="32" t="n">
        <v>-29.8</v>
      </c>
      <c r="H64" s="32" t="n">
        <v>-1</v>
      </c>
      <c r="I64" s="32" t="n">
        <v>-84.09999999999999</v>
      </c>
      <c r="J64" s="32" t="n">
        <v>-58.9</v>
      </c>
      <c r="K64" s="15">
        <f>-K73</f>
        <v/>
      </c>
      <c r="L64" s="15">
        <f>-L73</f>
        <v/>
      </c>
      <c r="M64" s="15">
        <f>-M73</f>
        <v/>
      </c>
      <c r="N64" s="15">
        <f>-N73</f>
        <v/>
      </c>
      <c r="O64" s="15">
        <f>-O73</f>
        <v/>
      </c>
      <c r="P64" s="15">
        <f>-P73</f>
        <v/>
      </c>
      <c r="Q64" s="15">
        <f>-Q73</f>
        <v/>
      </c>
      <c r="R64" s="15">
        <f>-R73</f>
        <v/>
      </c>
      <c r="S64" s="2" t="n"/>
      <c r="T64" s="2" t="n"/>
      <c r="U64" s="38" t="n">
        <v>-90.7</v>
      </c>
      <c r="V64" s="38" t="n">
        <v>-171.3</v>
      </c>
      <c r="W64" s="15">
        <f>IF(AND(ISBLANK(K64),ISBLANK(M64)),"",SUM(J64:M64))</f>
        <v/>
      </c>
      <c r="X64" s="15">
        <f>IF(AND(ISBLANK(O64),ISBLANK(Q64)),"",SUM(N64:Q64))</f>
        <v/>
      </c>
      <c r="Y64" s="15">
        <f>IF(COUNTBLANK(R64:R64)&gt;0,"",SUM(R64:R64))</f>
        <v/>
      </c>
      <c r="Z64" s="14">
        <f>K64+L64+M64+N64+O64+P64+Q64+R64</f>
        <v/>
      </c>
      <c r="AA64" s="2" t="n"/>
      <c r="AB64" s="20" t="inlineStr">
        <is>
          <t>− Capex</t>
        </is>
      </c>
    </row>
    <row r="65">
      <c r="A65" s="8" t="inlineStr">
        <is>
          <t>Financing CF (財務CF)</t>
        </is>
      </c>
      <c r="B65" s="32" t="n">
        <v>-144</v>
      </c>
      <c r="C65" s="32" t="n">
        <v>4.9</v>
      </c>
      <c r="D65" s="32" t="n">
        <v>95.09999999999999</v>
      </c>
      <c r="E65" s="32" t="n">
        <v>-101.4</v>
      </c>
      <c r="F65" s="32" t="n">
        <v>-92.8</v>
      </c>
      <c r="G65" s="32" t="n">
        <v>-32.2</v>
      </c>
      <c r="H65" s="32" t="n">
        <v>108</v>
      </c>
      <c r="I65" s="32" t="n">
        <v>-60.8</v>
      </c>
      <c r="J65" s="32" t="n">
        <v>-104.8</v>
      </c>
      <c r="K65" s="15">
        <f>-K75-K76+K77</f>
        <v/>
      </c>
      <c r="L65" s="15">
        <f>-L75-L76+L77</f>
        <v/>
      </c>
      <c r="M65" s="15">
        <f>-M75-M76+M77</f>
        <v/>
      </c>
      <c r="N65" s="15">
        <f>-N75-N76+N77</f>
        <v/>
      </c>
      <c r="O65" s="15">
        <f>-O75-O76+O77</f>
        <v/>
      </c>
      <c r="P65" s="15">
        <f>-P75-P76+P77</f>
        <v/>
      </c>
      <c r="Q65" s="15">
        <f>-Q75-Q76+Q77</f>
        <v/>
      </c>
      <c r="R65" s="15">
        <f>-R75-R76+R77</f>
        <v/>
      </c>
      <c r="S65" s="2" t="n"/>
      <c r="T65" s="2" t="n"/>
      <c r="U65" s="38" t="n">
        <v>-145.4</v>
      </c>
      <c r="V65" s="38" t="n">
        <v>-77.8</v>
      </c>
      <c r="W65" s="15">
        <f>IF(AND(ISBLANK(K65),ISBLANK(M65)),"",SUM(J65:M65))</f>
        <v/>
      </c>
      <c r="X65" s="15">
        <f>IF(AND(ISBLANK(O65),ISBLANK(Q65)),"",SUM(N65:Q65))</f>
        <v/>
      </c>
      <c r="Y65" s="15">
        <f>IF(COUNTBLANK(R65:R65)&gt;0,"",SUM(R65:R65))</f>
        <v/>
      </c>
      <c r="Z65" s="14">
        <f>K65+L65+M65+N65+O65+P65+Q65+R65</f>
        <v/>
      </c>
      <c r="AA65" s="2" t="n"/>
      <c r="AB65" s="20" t="inlineStr">
        <is>
          <t>Financing CF (財務CF): − Dividends − Buyback + Net Debt Issuance</t>
        </is>
      </c>
    </row>
    <row r="66">
      <c r="A66" s="8" t="inlineStr">
        <is>
          <t>Net Δcash</t>
        </is>
      </c>
      <c r="B66" s="19">
        <f>B63+B64+B65</f>
        <v/>
      </c>
      <c r="C66" s="19">
        <f>C63+C64+C65</f>
        <v/>
      </c>
      <c r="D66" s="19">
        <f>D63+D64+D65</f>
        <v/>
      </c>
      <c r="E66" s="19">
        <f>E63+E64+E65</f>
        <v/>
      </c>
      <c r="F66" s="19">
        <f>F63+F64+F65</f>
        <v/>
      </c>
      <c r="G66" s="19">
        <f>G63+G64+G65</f>
        <v/>
      </c>
      <c r="H66" s="19">
        <f>H63+H64+H65</f>
        <v/>
      </c>
      <c r="I66" s="19">
        <f>I63+I64+I65</f>
        <v/>
      </c>
      <c r="J66" s="19">
        <f>J63+J64+J65</f>
        <v/>
      </c>
      <c r="K66" s="19">
        <f>K63+K64+K65</f>
        <v/>
      </c>
      <c r="L66" s="19">
        <f>L63+L64+L65</f>
        <v/>
      </c>
      <c r="M66" s="19">
        <f>M63+M64+M65</f>
        <v/>
      </c>
      <c r="N66" s="19">
        <f>N63+N64+N65</f>
        <v/>
      </c>
      <c r="O66" s="19">
        <f>O63+O64+O65</f>
        <v/>
      </c>
      <c r="P66" s="19">
        <f>P63+P64+P65</f>
        <v/>
      </c>
      <c r="Q66" s="19">
        <f>Q63+Q64+Q65</f>
        <v/>
      </c>
      <c r="R66" s="19">
        <f>R63+R64+R65</f>
        <v/>
      </c>
      <c r="S66" s="2" t="n"/>
      <c r="T66" s="2" t="n"/>
      <c r="U66" s="15">
        <f>IF(AND(ISBLANK(C66),ISBLANK(E66)),"",SUM(B66:E66))</f>
        <v/>
      </c>
      <c r="V66" s="15">
        <f>IF(AND(ISBLANK(G66),ISBLANK(I66)),"",SUM(F66:I66))</f>
        <v/>
      </c>
      <c r="W66" s="15">
        <f>IF(AND(ISBLANK(K66),ISBLANK(M66)),"",SUM(J66:M66))</f>
        <v/>
      </c>
      <c r="X66" s="15">
        <f>IF(AND(ISBLANK(O66),ISBLANK(Q66)),"",SUM(N66:Q66))</f>
        <v/>
      </c>
      <c r="Y66" s="15">
        <f>IF(COUNTBLANK(R66:R66)&gt;0,"",SUM(R66:R66))</f>
        <v/>
      </c>
      <c r="Z66" s="14">
        <f>K66+L66+M66+N66+O66+P66+Q66+R66</f>
        <v/>
      </c>
      <c r="AA66" s="2" t="n"/>
      <c r="AB66" s="20" t="inlineStr">
        <is>
          <t>OCF + ICF + Financing CF</t>
        </is>
      </c>
    </row>
    <row r="67">
      <c r="A67" s="8" t="inlineStr">
        <is>
          <t>Free CF (OCF+ICF)</t>
        </is>
      </c>
      <c r="B67" s="14">
        <f>B63+B64</f>
        <v/>
      </c>
      <c r="C67" s="14">
        <f>C63+C64</f>
        <v/>
      </c>
      <c r="D67" s="14">
        <f>D63+D64</f>
        <v/>
      </c>
      <c r="E67" s="14">
        <f>E63+E64</f>
        <v/>
      </c>
      <c r="F67" s="14">
        <f>F63+F64</f>
        <v/>
      </c>
      <c r="G67" s="14">
        <f>G63+G64</f>
        <v/>
      </c>
      <c r="H67" s="14">
        <f>H63+H64</f>
        <v/>
      </c>
      <c r="I67" s="14">
        <f>I63+I64</f>
        <v/>
      </c>
      <c r="J67" s="14">
        <f>J63+J64</f>
        <v/>
      </c>
      <c r="K67" s="14">
        <f>K63+K64</f>
        <v/>
      </c>
      <c r="L67" s="14">
        <f>L63+L64</f>
        <v/>
      </c>
      <c r="M67" s="14">
        <f>M63+M64</f>
        <v/>
      </c>
      <c r="N67" s="14">
        <f>N63+N64</f>
        <v/>
      </c>
      <c r="O67" s="14">
        <f>O63+O64</f>
        <v/>
      </c>
      <c r="P67" s="14">
        <f>P63+P64</f>
        <v/>
      </c>
      <c r="Q67" s="14">
        <f>Q63+Q64</f>
        <v/>
      </c>
      <c r="R67" s="14">
        <f>R63+R64</f>
        <v/>
      </c>
      <c r="S67" s="2" t="n"/>
      <c r="T67" s="2" t="n"/>
      <c r="U67" s="14">
        <f>U63+U64</f>
        <v/>
      </c>
      <c r="V67" s="14">
        <f>V63+V64</f>
        <v/>
      </c>
      <c r="W67" s="14">
        <f>W63+W64</f>
        <v/>
      </c>
      <c r="X67" s="14">
        <f>X63+X64</f>
        <v/>
      </c>
      <c r="Y67" s="14">
        <f>Y63+Y64</f>
        <v/>
      </c>
      <c r="Z67" s="14">
        <f>Z63+Z64</f>
        <v/>
      </c>
      <c r="AA67" s="2" t="n"/>
      <c r="AB67" s="20" t="inlineStr">
        <is>
          <t>Free CF = OCF + ICF  (= 会社フリーCF)</t>
        </is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8" t="inlineStr">
        <is>
          <t xml:space="preserve">  + NI</t>
        </is>
      </c>
      <c r="B69" s="39">
        <f>FS!B18</f>
        <v/>
      </c>
      <c r="C69" s="39">
        <f>FS!C18</f>
        <v/>
      </c>
      <c r="D69" s="39">
        <f>FS!D18</f>
        <v/>
      </c>
      <c r="E69" s="39">
        <f>FS!E18</f>
        <v/>
      </c>
      <c r="F69" s="39">
        <f>FS!F18</f>
        <v/>
      </c>
      <c r="G69" s="39">
        <f>FS!G18</f>
        <v/>
      </c>
      <c r="H69" s="39">
        <f>FS!H18</f>
        <v/>
      </c>
      <c r="I69" s="39">
        <f>FS!I18</f>
        <v/>
      </c>
      <c r="J69" s="39">
        <f>FS!J18</f>
        <v/>
      </c>
      <c r="K69" s="24">
        <f>FS!K18</f>
        <v/>
      </c>
      <c r="L69" s="24">
        <f>FS!L18</f>
        <v/>
      </c>
      <c r="M69" s="24">
        <f>FS!M18</f>
        <v/>
      </c>
      <c r="N69" s="24">
        <f>FS!N18</f>
        <v/>
      </c>
      <c r="O69" s="24">
        <f>FS!O18</f>
        <v/>
      </c>
      <c r="P69" s="24">
        <f>FS!P18</f>
        <v/>
      </c>
      <c r="Q69" s="24">
        <f>FS!Q18</f>
        <v/>
      </c>
      <c r="R69" s="24">
        <f>FS!R18</f>
        <v/>
      </c>
      <c r="S69" s="2" t="n"/>
      <c r="T69" s="2" t="n"/>
      <c r="U69" s="13">
        <f>IF(AND(ISBLANK(C69),ISBLANK(E69)),"",SUM(B69:E69))</f>
        <v/>
      </c>
      <c r="V69" s="13">
        <f>IF(AND(ISBLANK(G69),ISBLANK(I69)),"",SUM(F69:I69))</f>
        <v/>
      </c>
      <c r="W69" s="13">
        <f>IF(AND(ISBLANK(K69),ISBLANK(M69)),"",SUM(J69:M69))</f>
        <v/>
      </c>
      <c r="X69" s="13">
        <f>IF(AND(ISBLANK(O69),ISBLANK(Q69)),"",SUM(N69:Q69))</f>
        <v/>
      </c>
      <c r="Y69" s="13">
        <f>IF(COUNTBLANK(R69:R69)&gt;0,"",SUM(R69:R69))</f>
        <v/>
      </c>
      <c r="Z69" s="2" t="n"/>
      <c r="AA69" s="2" t="n"/>
      <c r="AB69" s="20" t="inlineStr">
        <is>
          <t>from PL Net Income</t>
        </is>
      </c>
    </row>
    <row r="70">
      <c r="A70" s="8" t="inlineStr">
        <is>
          <t xml:space="preserve">  + D&amp;A</t>
        </is>
      </c>
      <c r="B70" s="12" t="n">
        <v>25.3</v>
      </c>
      <c r="C70" s="12" t="n">
        <v>24.5</v>
      </c>
      <c r="D70" s="12" t="n">
        <v>27.1</v>
      </c>
      <c r="E70" s="12" t="n">
        <v>27.7</v>
      </c>
      <c r="F70" s="12" t="n">
        <v>25</v>
      </c>
      <c r="G70" s="12" t="n">
        <v>26.7</v>
      </c>
      <c r="H70" s="12" t="n">
        <v>29.4</v>
      </c>
      <c r="I70" s="12" t="n">
        <v>30.6</v>
      </c>
      <c r="J70" s="12" t="n">
        <v>26.9</v>
      </c>
      <c r="K70" s="24">
        <f>FS!J36*FS!$B$100</f>
        <v/>
      </c>
      <c r="L70" s="24">
        <f>FS!K36*FS!$B$100</f>
        <v/>
      </c>
      <c r="M70" s="24">
        <f>FS!L36*FS!$B$100</f>
        <v/>
      </c>
      <c r="N70" s="24">
        <f>FS!M36*FS!$B$100</f>
        <v/>
      </c>
      <c r="O70" s="24">
        <f>FS!N36*FS!$B$100</f>
        <v/>
      </c>
      <c r="P70" s="24">
        <f>FS!O36*FS!$B$100</f>
        <v/>
      </c>
      <c r="Q70" s="24">
        <f>FS!P36*FS!$B$100</f>
        <v/>
      </c>
      <c r="R70" s="24">
        <f>FS!Q36*FS!$B$100</f>
        <v/>
      </c>
      <c r="S70" s="2" t="n"/>
      <c r="T70" s="2" t="n"/>
      <c r="U70" s="13">
        <f>IF(AND(ISBLANK(C70),ISBLANK(E70)),"",SUM(B70:E70))</f>
        <v/>
      </c>
      <c r="V70" s="13">
        <f>IF(AND(ISBLANK(G70),ISBLANK(I70)),"",SUM(F70:I70))</f>
        <v/>
      </c>
      <c r="W70" s="13">
        <f>IF(AND(ISBLANK(K70),ISBLANK(M70)),"",SUM(J70:M70))</f>
        <v/>
      </c>
      <c r="X70" s="13">
        <f>IF(AND(ISBLANK(O70),ISBLANK(Q70)),"",SUM(N70:Q70))</f>
        <v/>
      </c>
      <c r="Y70" s="13">
        <f>IF(COUNTBLANK(R70:R70)&gt;0,"",SUM(R70:R70))</f>
        <v/>
      </c>
      <c r="Z70" s="2" t="n"/>
      <c r="AA70" s="2" t="n"/>
      <c r="AB70" s="20" t="inlineStr">
        <is>
          <t>Prior PPE × 3.94%/Q  (calibrated to the disclosed guide 31億/Q at the latest PPE; rises with PPE thereafter)  (depreciation)</t>
        </is>
      </c>
    </row>
    <row r="71">
      <c r="A71" s="8" t="inlineStr">
        <is>
          <t xml:space="preserve">  + ΔWC</t>
        </is>
      </c>
      <c r="B71" s="2" t="n"/>
      <c r="C71" s="39">
        <f>-(FS!C31-FS!B31)-(FS!C32-FS!B32)+(FS!C40-FS!B40)</f>
        <v/>
      </c>
      <c r="D71" s="39">
        <f>-(FS!D31-FS!C31)-(FS!D32-FS!C32)+(FS!D40-FS!C40)</f>
        <v/>
      </c>
      <c r="E71" s="39">
        <f>-(FS!E31-FS!D31)-(FS!E32-FS!D32)+(FS!E40-FS!D40)</f>
        <v/>
      </c>
      <c r="F71" s="39">
        <f>-(FS!F31-FS!E31)-(FS!F32-FS!E32)+(FS!F40-FS!E40)</f>
        <v/>
      </c>
      <c r="G71" s="39">
        <f>-(FS!G31-FS!F31)-(FS!G32-FS!F32)+(FS!G40-FS!F40)</f>
        <v/>
      </c>
      <c r="H71" s="39">
        <f>-(FS!H31-FS!G31)-(FS!H32-FS!G32)+(FS!H40-FS!G40)</f>
        <v/>
      </c>
      <c r="I71" s="39">
        <f>-(FS!I31-FS!H31)-(FS!I32-FS!H32)+(FS!I40-FS!H40)</f>
        <v/>
      </c>
      <c r="J71" s="39">
        <f>-(FS!J31-FS!I31)-(FS!J32-FS!I32)+(FS!J40-FS!I40)</f>
        <v/>
      </c>
      <c r="K71" s="24">
        <f>-(FS!K31-FS!J31)-(FS!K32-FS!J32)+(FS!K40-FS!J40)</f>
        <v/>
      </c>
      <c r="L71" s="24">
        <f>-(FS!L31-FS!K31)-(FS!L32-FS!K32)+(FS!L40-FS!K40)</f>
        <v/>
      </c>
      <c r="M71" s="24">
        <f>-(FS!M31-FS!L31)-(FS!M32-FS!L32)+(FS!M40-FS!L40)</f>
        <v/>
      </c>
      <c r="N71" s="24">
        <f>-(FS!N31-FS!M31)-(FS!N32-FS!M32)+(FS!N40-FS!M40)</f>
        <v/>
      </c>
      <c r="O71" s="24">
        <f>-(FS!O31-FS!N31)-(FS!O32-FS!N32)+(FS!O40-FS!N40)</f>
        <v/>
      </c>
      <c r="P71" s="24">
        <f>-(FS!P31-FS!O31)-(FS!P32-FS!O32)+(FS!P40-FS!O40)</f>
        <v/>
      </c>
      <c r="Q71" s="24">
        <f>-(FS!Q31-FS!P31)-(FS!Q32-FS!P32)+(FS!Q40-FS!P40)</f>
        <v/>
      </c>
      <c r="R71" s="24">
        <f>-(FS!R31-FS!Q31)-(FS!R32-FS!Q32)+(FS!R40-FS!Q40)</f>
        <v/>
      </c>
      <c r="S71" s="2" t="n"/>
      <c r="T71" s="2" t="n"/>
      <c r="U71" s="13">
        <f>IF(AND(ISBLANK(C71),ISBLANK(E71)),"",SUM(B71:E71))</f>
        <v/>
      </c>
      <c r="V71" s="13">
        <f>IF(AND(ISBLANK(G71),ISBLANK(I71)),"",SUM(F71:I71))</f>
        <v/>
      </c>
      <c r="W71" s="13">
        <f>IF(AND(ISBLANK(K71),ISBLANK(M71)),"",SUM(J71:M71))</f>
        <v/>
      </c>
      <c r="X71" s="13">
        <f>IF(AND(ISBLANK(O71),ISBLANK(Q71)),"",SUM(N71:Q71))</f>
        <v/>
      </c>
      <c r="Y71" s="13">
        <f>IF(COUNTBLANK(R71:R71)&gt;0,"",SUM(R71:R71))</f>
        <v/>
      </c>
      <c r="Z71" s="2" t="n"/>
      <c r="AA71" s="2" t="n"/>
      <c r="AB71" s="20" t="inlineStr">
        <is>
          <t>− ΔAR − ΔInv + ΔAP  (working capital change)</t>
        </is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>
      <c r="A73" s="8" t="inlineStr">
        <is>
          <t xml:space="preserve">  − Capex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13">
        <f>$B$80</f>
        <v/>
      </c>
      <c r="L73" s="13">
        <f>$B$80</f>
        <v/>
      </c>
      <c r="M73" s="13">
        <f>$B$80</f>
        <v/>
      </c>
      <c r="N73" s="13">
        <f>$B$80</f>
        <v/>
      </c>
      <c r="O73" s="13">
        <f>$B$80</f>
        <v/>
      </c>
      <c r="P73" s="13">
        <f>$B$80</f>
        <v/>
      </c>
      <c r="Q73" s="13">
        <f>$B$80</f>
        <v/>
      </c>
      <c r="R73" s="13">
        <f>$B$80</f>
        <v/>
      </c>
      <c r="S73" s="2" t="n"/>
      <c r="T73" s="2" t="n"/>
      <c r="U73" s="13">
        <f>IF(AND(ISBLANK(C73),ISBLANK(E73)),"",SUM(B73:E73))</f>
        <v/>
      </c>
      <c r="V73" s="13">
        <f>IF(AND(ISBLANK(G73),ISBLANK(I73)),"",SUM(F73:I73))</f>
        <v/>
      </c>
      <c r="W73" s="13">
        <f>IF(AND(ISBLANK(K73),ISBLANK(M73)),"",SUM(J73:M73))</f>
        <v/>
      </c>
      <c r="X73" s="13">
        <f>IF(AND(ISBLANK(O73),ISBLANK(Q73)),"",SUM(N73:Q73))</f>
        <v/>
      </c>
      <c r="Y73" s="13">
        <f>IF(COUNTBLANK(R73:R73)&gt;0,"",SUM(R73:R73))</f>
        <v/>
      </c>
      <c r="Z73" s="14">
        <f>K73+L73+M73+N73+O73+P73+Q73+R73</f>
        <v/>
      </c>
      <c r="AA73" s="2" t="n"/>
      <c r="AB73" s="20" t="inlineStr">
        <is>
          <t>Capex/Q assumption (80.0億, edit on Summary)</t>
        </is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8" t="inlineStr">
        <is>
          <t xml:space="preserve">  − Dividends</t>
        </is>
      </c>
      <c r="B75" s="12" t="n">
        <v>20.3</v>
      </c>
      <c r="C75" s="12" t="n">
        <v>2.3</v>
      </c>
      <c r="D75" s="12" t="n">
        <v>15.4</v>
      </c>
      <c r="E75" s="12" t="n">
        <v>0.5</v>
      </c>
      <c r="F75" s="12" t="n">
        <v>36</v>
      </c>
      <c r="G75" s="12" t="n">
        <v>3.8</v>
      </c>
      <c r="H75" s="12" t="n">
        <v>19.4</v>
      </c>
      <c r="I75" s="12" t="n">
        <v>1.9</v>
      </c>
      <c r="J75" s="12" t="n">
        <v>45.5</v>
      </c>
      <c r="K75" s="24">
        <f>FS!K23*FS!K21/100</f>
        <v/>
      </c>
      <c r="L75" s="24">
        <f>FS!L23*FS!L21/100</f>
        <v/>
      </c>
      <c r="M75" s="24">
        <f>FS!M23*FS!M21/100</f>
        <v/>
      </c>
      <c r="N75" s="24">
        <f>FS!N23*FS!N21/100</f>
        <v/>
      </c>
      <c r="O75" s="24">
        <f>FS!O23*FS!O21/100</f>
        <v/>
      </c>
      <c r="P75" s="24">
        <f>FS!P23*FS!P21/100</f>
        <v/>
      </c>
      <c r="Q75" s="24">
        <f>FS!Q23*FS!Q21/100</f>
        <v/>
      </c>
      <c r="R75" s="24">
        <f>FS!R23*FS!R21/100</f>
        <v/>
      </c>
      <c r="S75" s="2" t="n"/>
      <c r="T75" s="2" t="n"/>
      <c r="U75" s="13">
        <f>IF(AND(ISBLANK(C75),ISBLANK(E75)),"",SUM(B75:E75))</f>
        <v/>
      </c>
      <c r="V75" s="13">
        <f>IF(AND(ISBLANK(G75),ISBLANK(I75)),"",SUM(F75:I75))</f>
        <v/>
      </c>
      <c r="W75" s="13">
        <f>IF(AND(ISBLANK(K75),ISBLANK(M75)),"",SUM(J75:M75))</f>
        <v/>
      </c>
      <c r="X75" s="13">
        <f>IF(AND(ISBLANK(O75),ISBLANK(Q75)),"",SUM(N75:Q75))</f>
        <v/>
      </c>
      <c r="Y75" s="13">
        <f>IF(COUNTBLANK(R75:R75)&gt;0,"",SUM(R75:R75))</f>
        <v/>
      </c>
      <c r="Z75" s="14">
        <f>K75+L75+M75+N75+O75+P75+Q75+R75</f>
        <v/>
      </c>
      <c r="AA75" s="2" t="n"/>
      <c r="AB75" s="20" t="inlineStr">
        <is>
          <t>DPS × Shares (M) / 100</t>
        </is>
      </c>
    </row>
    <row r="76">
      <c r="A76" s="8" t="inlineStr">
        <is>
          <t xml:space="preserve">  − Buyback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13">
        <f>$B$81</f>
        <v/>
      </c>
      <c r="L76" s="13">
        <f>$B$81</f>
        <v/>
      </c>
      <c r="M76" s="13">
        <f>$B$81</f>
        <v/>
      </c>
      <c r="N76" s="13">
        <f>$B$81</f>
        <v/>
      </c>
      <c r="O76" s="13">
        <f>$B$81</f>
        <v/>
      </c>
      <c r="P76" s="13">
        <f>$B$81</f>
        <v/>
      </c>
      <c r="Q76" s="13">
        <f>$B$81</f>
        <v/>
      </c>
      <c r="R76" s="13">
        <f>$B$81</f>
        <v/>
      </c>
      <c r="S76" s="2" t="n"/>
      <c r="T76" s="2" t="n"/>
      <c r="U76" s="13">
        <f>IF(AND(ISBLANK(C76),ISBLANK(E76)),"",SUM(B76:E76))</f>
        <v/>
      </c>
      <c r="V76" s="13">
        <f>IF(AND(ISBLANK(G76),ISBLANK(I76)),"",SUM(F76:I76))</f>
        <v/>
      </c>
      <c r="W76" s="13">
        <f>IF(AND(ISBLANK(K76),ISBLANK(M76)),"",SUM(J76:M76))</f>
        <v/>
      </c>
      <c r="X76" s="13">
        <f>IF(AND(ISBLANK(O76),ISBLANK(Q76)),"",SUM(N76:Q76))</f>
        <v/>
      </c>
      <c r="Y76" s="13">
        <f>IF(COUNTBLANK(R76:R76)&gt;0,"",SUM(R76:R76))</f>
        <v/>
      </c>
      <c r="Z76" s="2" t="n"/>
      <c r="AA76" s="2" t="n"/>
      <c r="AB76" s="20" t="inlineStr">
        <is>
          <t>Buyback/Q assumption (edit on Summary; seeded from tdnet when announced)</t>
        </is>
      </c>
    </row>
    <row r="77">
      <c r="A77" s="8" t="inlineStr">
        <is>
          <t xml:space="preserve">  + Net Debt Iss</t>
        </is>
      </c>
      <c r="B77" s="2" t="n"/>
      <c r="C77" s="39">
        <f>FS!C41-FS!B41</f>
        <v/>
      </c>
      <c r="D77" s="39">
        <f>FS!D41-FS!C41</f>
        <v/>
      </c>
      <c r="E77" s="39">
        <f>FS!E41-FS!D41</f>
        <v/>
      </c>
      <c r="F77" s="39">
        <f>FS!F41-FS!E41</f>
        <v/>
      </c>
      <c r="G77" s="39">
        <f>FS!G41-FS!F41</f>
        <v/>
      </c>
      <c r="H77" s="39">
        <f>FS!H41-FS!G41</f>
        <v/>
      </c>
      <c r="I77" s="39">
        <f>FS!I41-FS!H41</f>
        <v/>
      </c>
      <c r="J77" s="39">
        <f>FS!J41-FS!I41</f>
        <v/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2" t="n"/>
      <c r="T77" s="2" t="n"/>
      <c r="U77" s="13">
        <f>IF(AND(ISBLANK(C77),ISBLANK(E77)),"",SUM(B77:E77))</f>
        <v/>
      </c>
      <c r="V77" s="13">
        <f>IF(AND(ISBLANK(G77),ISBLANK(I77)),"",SUM(F77:I77))</f>
        <v/>
      </c>
      <c r="W77" s="13">
        <f>IF(AND(ISBLANK(K77),ISBLANK(M77)),"",SUM(J77:M77))</f>
        <v/>
      </c>
      <c r="X77" s="13">
        <f>IF(AND(ISBLANK(O77),ISBLANK(Q77)),"",SUM(N77:Q77))</f>
        <v/>
      </c>
      <c r="Y77" s="13">
        <f>IF(COUNTBLANK(R77:R77)&gt;0,"",SUM(R77:R77))</f>
        <v/>
      </c>
      <c r="Z77" s="2" t="n"/>
      <c r="AA77" s="2" t="n"/>
      <c r="AB77" s="20" t="inlineStr">
        <is>
          <t>Held = 0</t>
        </is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8" t="inlineStr">
        <is>
          <t>Capex per Q (億)  [edit on Summary B22]</t>
        </is>
      </c>
      <c r="B80" s="39">
        <f>FS!$B$95</f>
        <v/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8" t="inlineStr">
        <is>
          <t>Buyback per Q (億)  [edit on Summary B23]</t>
        </is>
      </c>
      <c r="B81" s="39">
        <f>FS!$B$96</f>
        <v/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34" t="inlineStr">
        <is>
          <t>Live Assumptions  ─ edit cells in column B; only forward periods recompute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Tax rate %</t>
        </is>
      </c>
      <c r="B85" s="10" t="n">
        <v>24.2</v>
      </c>
      <c r="C85" s="40" t="inlineStr">
        <is>
          <t>ΣTax/ΣPretax actual (ratio-of-sums), n=15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</row>
    <row r="86">
      <c r="A86" s="2" t="inlineStr">
        <is>
          <t>NonOp/OP %</t>
        </is>
      </c>
      <c r="B86" s="10" t="n">
        <v>-0.2</v>
      </c>
      <c r="C86" s="40" t="inlineStr">
        <is>
          <t>5y ΣOdP/ΣOP−1 (ratio-of-sums), n=18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>
      <c r="A87" s="2" t="inlineStr">
        <is>
          <t>SG&amp;A/Sales %</t>
        </is>
      </c>
      <c r="B87" s="10" t="n">
        <v>20.35</v>
      </c>
      <c r="C87" s="40" t="inlineStr">
        <is>
          <t>yaml override (recent run-rate)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</row>
    <row r="88">
      <c r="A88" s="2" t="inlineStr">
        <is>
          <t>Payout %</t>
        </is>
      </c>
      <c r="B88" s="10" t="n">
        <v>30</v>
      </c>
      <c r="C88" s="40" t="inlineStr">
        <is>
          <t>config: fixed policy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2" t="inlineStr">
        <is>
          <t>Shares (M)</t>
        </is>
      </c>
      <c r="B89" s="12" t="n">
        <v>45.4</v>
      </c>
      <c r="C89" s="40" t="inlineStr">
        <is>
          <t>fins_summary ShOutFY(46M)-TrShFY(0M)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>
      <c r="A90" s="2" t="inlineStr">
        <is>
          <t>PPE/TA ratio</t>
        </is>
      </c>
      <c r="B90" s="88" t="n">
        <v>0.24</v>
      </c>
      <c r="C90" s="40" t="inlineStr">
        <is>
          <t>5y mean PPE/TA from fins_details, n=19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inlineStr">
        <is>
          <t>RE/Eq ratio</t>
        </is>
      </c>
      <c r="B91" s="88" t="n">
        <v>0.611</v>
      </c>
      <c r="C91" s="40" t="inlineStr">
        <is>
          <t>5y mean RE/Eq from fins_details, n=19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2" t="inlineStr">
        <is>
          <t>DSO (days)</t>
        </is>
      </c>
      <c r="B92" s="89" t="n">
        <v>100</v>
      </c>
      <c r="C92" s="40" t="inlineStr">
        <is>
          <t>5y mean AR÷Sales×91, n=19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</row>
    <row r="93">
      <c r="A93" s="2" t="inlineStr">
        <is>
          <t>DIO (days)</t>
        </is>
      </c>
      <c r="B93" s="89" t="n">
        <v>152</v>
      </c>
      <c r="C93" s="40" t="inlineStr">
        <is>
          <t>5y mean Inv÷COGSproxy×91, n=19</t>
        </is>
      </c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</row>
    <row r="94">
      <c r="A94" s="2" t="inlineStr">
        <is>
          <t>DPO (days)</t>
        </is>
      </c>
      <c r="B94" s="89" t="n">
        <v>67</v>
      </c>
      <c r="C94" s="40" t="inlineStr">
        <is>
          <t>5y mean AP÷COGSproxy×91, n=19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  <row r="95">
      <c r="A95" s="2" t="inlineStr">
        <is>
          <t>Capex/Q (億)</t>
        </is>
      </c>
      <c r="B95" s="43" t="n">
        <v>80</v>
      </c>
      <c r="C95" s="40" t="inlineStr">
        <is>
          <t>yaml override (disclosed)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</row>
    <row r="96">
      <c r="A96" s="2" t="inlineStr">
        <is>
          <t>Buyback/Q (億)</t>
        </is>
      </c>
      <c r="B96" s="43" t="n">
        <v>0</v>
      </c>
      <c r="C96" s="40" t="inlineStr">
        <is>
          <t>default (no announcement)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</row>
    <row r="97">
      <c r="A97" s="2" t="inlineStr">
        <is>
          <t>Beta (5y vs TPX)</t>
        </is>
      </c>
      <c r="B97" s="90" t="n">
        <v>1.36</v>
      </c>
      <c r="C97" s="40" t="inlineStr">
        <is>
          <t>daily-return OLS vs TOPIX, 5y window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</row>
    <row r="98">
      <c r="A98" s="2" t="inlineStr">
        <is>
          <t>WACC %</t>
        </is>
      </c>
      <c r="B98" s="9" t="n">
        <v>8.300000000000001</v>
      </c>
      <c r="C98" s="40" t="inlineStr">
        <is>
          <t>equity-only (Rf + β × ERP); net-cash firm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</row>
    <row r="99">
      <c r="A99" s="2" t="inlineStr">
        <is>
          <t>Buyback Avg Px (¥)</t>
        </is>
      </c>
      <c r="B99" s="45" t="n">
        <v>10013</v>
      </c>
      <c r="C99" s="40" t="inlineStr">
        <is>
          <t>user input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</row>
    <row r="100">
      <c r="A100" s="2" t="inlineStr">
        <is>
          <t>D&amp;A rate / Q</t>
        </is>
      </c>
      <c r="B100" s="91" t="n">
        <v>0.0394</v>
      </c>
      <c r="C100" s="40" t="inlineStr">
        <is>
          <t>yaml da_per_q_oku 31億 ÷ latest PPE 793億 (disclosed guide, not 5y ratio)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</row>
    <row r="101">
      <c r="A101" s="2" t="inlineStr">
        <is>
          <t>Minority/Pretax %</t>
        </is>
      </c>
      <c r="B101" s="10" t="n">
        <v>1.2</v>
      </c>
      <c r="C101" s="40" t="inlineStr">
        <is>
          <t>Σ(Pretax-Tax-NP)/ΣPretax, n=15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24" customWidth="1" min="6" max="6"/>
    <col width="12" customWidth="1" min="7" max="7"/>
    <col width="12" customWidth="1" min="8" max="8"/>
    <col width="11" customWidth="1" min="9" max="9"/>
    <col width="10" customWidth="1" min="10" max="10"/>
    <col width="10" customWidth="1" min="11" max="11"/>
  </cols>
  <sheetData>
    <row r="1">
      <c r="A1" s="17" t="inlineStr">
        <is>
          <t>Meidensha Valuation — LEFT=DCF/PE/PB + verdict; RIGHT=5y multiples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BLUE=input, BLACK=formula, GREEN=cross-sheet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4" t="inlineStr">
        <is>
          <t>Method 1: DCF (FCFF, equity-only)</t>
        </is>
      </c>
      <c r="B3" s="2" t="n"/>
      <c r="C3" s="2" t="n"/>
      <c r="D3" s="2" t="n"/>
      <c r="E3" s="2" t="n"/>
      <c r="F3" s="34" t="inlineStr">
        <is>
          <t>MULTIPLES HISTORY (5y, split-adjusted)</t>
        </is>
      </c>
      <c r="G3" s="2" t="n"/>
      <c r="H3" s="2" t="n"/>
      <c r="I3" s="2" t="n"/>
      <c r="J3" s="2" t="n"/>
      <c r="K3" s="2" t="n"/>
    </row>
    <row r="4">
      <c r="A4" s="8" t="inlineStr">
        <is>
          <t>FY+1 FCF (億, OCF+ICF)</t>
        </is>
      </c>
      <c r="B4" s="39">
        <f>IFERROR((FS!J63+FS!K63+FS!L63+FS!M63)+(FS!J64+FS!K64+FS!L64+FS!M64),"")</f>
        <v/>
      </c>
      <c r="C4" s="2" t="n"/>
      <c r="D4" s="2" t="n"/>
      <c r="E4" s="2" t="n"/>
      <c r="F4" s="5" t="inlineStr">
        <is>
          <t>Stat</t>
        </is>
      </c>
      <c r="G4" s="5" t="inlineStr">
        <is>
          <t>P/E</t>
        </is>
      </c>
      <c r="H4" s="5" t="inlineStr">
        <is>
          <t>P/B</t>
        </is>
      </c>
      <c r="I4" s="2" t="n"/>
      <c r="J4" s="2" t="n"/>
      <c r="K4" s="2" t="n"/>
    </row>
    <row r="5">
      <c r="A5" s="2" t="inlineStr">
        <is>
          <t>FCF growth Y2-Y5 %</t>
        </is>
      </c>
      <c r="B5" s="10" t="n">
        <v>5</v>
      </c>
      <c r="C5" s="2" t="n"/>
      <c r="D5" s="2" t="n"/>
      <c r="E5" s="2" t="n"/>
      <c r="F5" s="92" t="inlineStr">
        <is>
          <t>Mean</t>
        </is>
      </c>
      <c r="G5" s="47" t="n">
        <v>14.1</v>
      </c>
      <c r="H5" s="47" t="n">
        <v>1.43</v>
      </c>
      <c r="I5" s="2" t="n"/>
      <c r="J5" s="2" t="n"/>
      <c r="K5" s="2" t="n"/>
    </row>
    <row r="6">
      <c r="A6" s="2" t="inlineStr">
        <is>
          <t>Terminal growth %</t>
        </is>
      </c>
      <c r="B6" s="10" t="n">
        <v>2</v>
      </c>
      <c r="C6" s="2" t="n"/>
      <c r="D6" s="2" t="n"/>
      <c r="E6" s="2" t="n"/>
      <c r="F6" s="92" t="inlineStr">
        <is>
          <t>Median</t>
        </is>
      </c>
      <c r="G6" s="47" t="n">
        <v>13.82</v>
      </c>
      <c r="H6" s="47" t="n">
        <v>1.26</v>
      </c>
      <c r="I6" s="2" t="n"/>
      <c r="J6" s="2" t="n"/>
      <c r="K6" s="2" t="n"/>
    </row>
    <row r="7">
      <c r="A7" s="2" t="inlineStr">
        <is>
          <t xml:space="preserve">  Rf % (10y JGB)</t>
        </is>
      </c>
      <c r="B7" s="10" t="n">
        <v>1.5</v>
      </c>
      <c r="C7" s="2" t="n"/>
      <c r="D7" s="2" t="n"/>
      <c r="E7" s="2" t="n"/>
      <c r="F7" s="92" t="inlineStr">
        <is>
          <t>StdDev</t>
        </is>
      </c>
      <c r="G7" s="47" t="n">
        <v>2.23</v>
      </c>
      <c r="H7" s="47" t="n">
        <v>0.61</v>
      </c>
      <c r="I7" s="2" t="n"/>
      <c r="J7" s="2" t="n"/>
      <c r="K7" s="2" t="n"/>
    </row>
    <row r="8">
      <c r="A8" s="2" t="inlineStr">
        <is>
          <t xml:space="preserve">  ERP % (JP equity premium)</t>
        </is>
      </c>
      <c r="B8" s="10" t="n">
        <v>5</v>
      </c>
      <c r="C8" s="2" t="n"/>
      <c r="D8" s="2" t="n"/>
      <c r="E8" s="2" t="n"/>
      <c r="F8" s="92" t="inlineStr">
        <is>
          <t>Mean +1SD</t>
        </is>
      </c>
      <c r="G8" s="47" t="n">
        <v>16.33</v>
      </c>
      <c r="H8" s="47" t="n">
        <v>2.04</v>
      </c>
      <c r="I8" s="2" t="n"/>
      <c r="J8" s="2" t="n"/>
      <c r="K8" s="2" t="n"/>
    </row>
    <row r="9">
      <c r="A9" s="2" t="inlineStr">
        <is>
          <t xml:space="preserve">  Beta (5y vs TOPIX)</t>
        </is>
      </c>
      <c r="B9" s="88" t="n">
        <v>1.36</v>
      </c>
      <c r="C9" s="2" t="n"/>
      <c r="D9" s="2" t="n"/>
      <c r="E9" s="2" t="n"/>
      <c r="F9" s="92" t="inlineStr">
        <is>
          <t>Mean −1SD</t>
        </is>
      </c>
      <c r="G9" s="47" t="n">
        <v>11.87</v>
      </c>
      <c r="H9" s="47" t="n">
        <v>0.83</v>
      </c>
      <c r="I9" s="2" t="n"/>
      <c r="J9" s="2" t="n"/>
      <c r="K9" s="2" t="n"/>
    </row>
    <row r="10">
      <c r="A10" s="8" t="inlineStr">
        <is>
          <t>WACC % = Rf + β × ERP</t>
        </is>
      </c>
      <c r="B10" s="48">
        <f>B7+B9*B8</f>
        <v/>
      </c>
      <c r="C10" s="2" t="n"/>
      <c r="D10" s="2" t="n"/>
      <c r="E10" s="2" t="n"/>
      <c r="F10" s="8" t="inlineStr">
        <is>
          <t>CURRENT</t>
        </is>
      </c>
      <c r="G10" s="47" t="n">
        <v>16.94</v>
      </c>
      <c r="H10" s="47" t="n">
        <v>2.73</v>
      </c>
      <c r="I10" s="2" t="n"/>
      <c r="J10" s="2" t="n"/>
      <c r="K10" s="2" t="n"/>
    </row>
    <row r="11">
      <c r="A11" s="8" t="inlineStr">
        <is>
          <t>Stub: days to FY end ÷ 365.25</t>
        </is>
      </c>
      <c r="B11" s="93">
        <f>(DATE(YEAR(TODAY())+IF(MONTH(TODAY())&gt;3,1,0),3+1,0)-TODAY())/365.25</f>
        <v/>
      </c>
      <c r="C11" s="2" t="n"/>
      <c r="D11" s="2" t="n"/>
      <c r="E11" s="2" t="n"/>
      <c r="F11" s="92" t="inlineStr">
        <is>
          <t>Pct Rank %</t>
        </is>
      </c>
      <c r="G11" s="47" t="n">
        <v>90.70999999999999</v>
      </c>
      <c r="H11" s="47" t="n">
        <v>95.40000000000001</v>
      </c>
      <c r="I11" s="2" t="n"/>
      <c r="J11" s="2" t="n"/>
      <c r="K11" s="2" t="n"/>
    </row>
    <row r="12">
      <c r="A12" s="2" t="inlineStr">
        <is>
          <t>Mid-year convention: Y1 discount=stub/2, Yn≥2 = stub + (n-1) - 0.5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Y1</t>
        </is>
      </c>
      <c r="B13" s="19">
        <f>B4</f>
        <v/>
      </c>
      <c r="C13" s="93">
        <f>1/(1+$B$10/100)^($B$11/2)</f>
        <v/>
      </c>
      <c r="D13" s="19">
        <f>B13*C13</f>
        <v/>
      </c>
      <c r="E13" s="2" t="n"/>
      <c r="F13" s="8" t="inlineStr">
        <is>
          <t>Current Price (¥)</t>
        </is>
      </c>
      <c r="G13" s="94" t="n">
        <v>10540</v>
      </c>
      <c r="H13" s="2" t="n"/>
      <c r="I13" s="2" t="n"/>
      <c r="J13" s="2" t="n"/>
      <c r="K13" s="2" t="n"/>
    </row>
    <row r="14">
      <c r="A14" s="2" t="inlineStr">
        <is>
          <t>Y2</t>
        </is>
      </c>
      <c r="B14" s="19">
        <f>B13*(1+$B$5/100)</f>
        <v/>
      </c>
      <c r="C14" s="93">
        <f>1/(1+$B$10/100)^($B$11+2-1-0.5)</f>
        <v/>
      </c>
      <c r="D14" s="19">
        <f>B14*C14</f>
        <v/>
      </c>
      <c r="E14" s="2" t="n"/>
      <c r="F14" s="2" t="inlineStr">
        <is>
          <t>Current TTM EPS (¥)</t>
        </is>
      </c>
      <c r="G14" s="28" t="n">
        <v>622.0599999999999</v>
      </c>
      <c r="H14" s="2" t="n"/>
      <c r="I14" s="2" t="n"/>
      <c r="J14" s="2" t="n"/>
      <c r="K14" s="2" t="n"/>
    </row>
    <row r="15">
      <c r="A15" s="2" t="inlineStr">
        <is>
          <t>Y3</t>
        </is>
      </c>
      <c r="B15" s="19">
        <f>B14*(1+$B$5/100)</f>
        <v/>
      </c>
      <c r="C15" s="93">
        <f>1/(1+$B$10/100)^($B$11+3-1-0.5)</f>
        <v/>
      </c>
      <c r="D15" s="19">
        <f>B15*C15</f>
        <v/>
      </c>
      <c r="E15" s="2" t="n"/>
      <c r="F15" s="2" t="inlineStr">
        <is>
          <t>Current BPS (¥)</t>
        </is>
      </c>
      <c r="G15" s="28" t="n">
        <v>3855.2</v>
      </c>
      <c r="H15" s="2" t="n"/>
      <c r="I15" s="2" t="n"/>
      <c r="J15" s="2" t="n"/>
      <c r="K15" s="2" t="n"/>
    </row>
    <row r="16">
      <c r="A16" s="2" t="inlineStr">
        <is>
          <t>Y4</t>
        </is>
      </c>
      <c r="B16" s="19">
        <f>B15*(1+$B$5/100)</f>
        <v/>
      </c>
      <c r="C16" s="93">
        <f>1/(1+$B$10/100)^($B$11+4-1-0.5)</f>
        <v/>
      </c>
      <c r="D16" s="19">
        <f>B16*C16</f>
        <v/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Y5</t>
        </is>
      </c>
      <c r="B17" s="19">
        <f>B16*(1+$B$5/100)</f>
        <v/>
      </c>
      <c r="C17" s="93">
        <f>1/(1+$B$10/100)^($B$11+5-1-0.5)</f>
        <v/>
      </c>
      <c r="D17" s="19">
        <f>B17*C17</f>
        <v/>
      </c>
      <c r="E17" s="2" t="n"/>
      <c r="F17" s="34" t="inlineStr">
        <is>
          <t>Recent 30 days</t>
        </is>
      </c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11" t="inlineStr">
        <is>
          <t>Date</t>
        </is>
      </c>
      <c r="G18" s="11" t="inlineStr">
        <is>
          <t>Close</t>
        </is>
      </c>
      <c r="H18" s="11" t="inlineStr">
        <is>
          <t>TTM EPS</t>
        </is>
      </c>
      <c r="I18" s="11" t="inlineStr">
        <is>
          <t>BPS</t>
        </is>
      </c>
      <c r="J18" s="11" t="inlineStr">
        <is>
          <t>P/E</t>
        </is>
      </c>
      <c r="K18" s="11" t="inlineStr">
        <is>
          <t>P/B</t>
        </is>
      </c>
    </row>
    <row r="19">
      <c r="A19" s="8" t="inlineStr">
        <is>
          <t>Terminal (discounted at end-of-Y5 = stub + 4.5)</t>
        </is>
      </c>
      <c r="B19" s="19">
        <f>B17*(1+$B$6/100)/(($B$10-$B$6)/100)</f>
        <v/>
      </c>
      <c r="C19" s="93">
        <f>1/(1+$B$10/100)^($B$11+4.5)</f>
        <v/>
      </c>
      <c r="D19" s="19">
        <f>B19*C19</f>
        <v/>
      </c>
      <c r="E19" s="2" t="n"/>
      <c r="F19" s="2" t="inlineStr">
        <is>
          <t>2026-08-05</t>
        </is>
      </c>
      <c r="G19" s="95" t="n">
        <v>11250</v>
      </c>
      <c r="H19" s="28" t="n">
        <v>622.0599999999999</v>
      </c>
      <c r="I19" s="28" t="n">
        <v>3855.2</v>
      </c>
      <c r="J19" s="47" t="n">
        <v>18.09</v>
      </c>
      <c r="K19" s="47" t="n">
        <v>2.92</v>
      </c>
    </row>
    <row r="20">
      <c r="A20" s="2" t="n"/>
      <c r="B20" s="2" t="n"/>
      <c r="C20" s="2" t="n"/>
      <c r="D20" s="2" t="n"/>
      <c r="E20" s="2" t="n"/>
      <c r="F20" s="2" t="inlineStr">
        <is>
          <t>2026-08-06</t>
        </is>
      </c>
      <c r="G20" s="95" t="n">
        <v>11140</v>
      </c>
      <c r="H20" s="28" t="n">
        <v>622.0599999999999</v>
      </c>
      <c r="I20" s="28" t="n">
        <v>3855.2</v>
      </c>
      <c r="J20" s="47" t="n">
        <v>17.91</v>
      </c>
      <c r="K20" s="47" t="n">
        <v>2.89</v>
      </c>
    </row>
    <row r="21">
      <c r="A21" s="8" t="inlineStr">
        <is>
          <t>Enterprise Value (億)</t>
        </is>
      </c>
      <c r="B21" s="14">
        <f>SUM(D13:D17)+D19</f>
        <v/>
      </c>
      <c r="C21" s="2" t="n"/>
      <c r="D21" s="2" t="n"/>
      <c r="E21" s="2" t="n"/>
      <c r="F21" s="2" t="inlineStr">
        <is>
          <t>2026-08-07</t>
        </is>
      </c>
      <c r="G21" s="95" t="n">
        <v>10850</v>
      </c>
      <c r="H21" s="28" t="n">
        <v>622.0599999999999</v>
      </c>
      <c r="I21" s="28" t="n">
        <v>3855.2</v>
      </c>
      <c r="J21" s="47" t="n">
        <v>17.44</v>
      </c>
      <c r="K21" s="47" t="n">
        <v>2.81</v>
      </c>
    </row>
    <row r="22">
      <c r="A22" s="2" t="inlineStr">
        <is>
          <t>Net Cash = Cash − Debt (FY26Q1 actual)</t>
        </is>
      </c>
      <c r="B22" s="39">
        <f>FS!J30-FS!J41</f>
        <v/>
      </c>
      <c r="C22" s="2" t="n"/>
      <c r="D22" s="2" t="n"/>
      <c r="E22" s="2" t="n"/>
      <c r="F22" s="2" t="inlineStr">
        <is>
          <t>2026-08-10</t>
        </is>
      </c>
      <c r="G22" s="95" t="n">
        <v>10790</v>
      </c>
      <c r="H22" s="28" t="n">
        <v>622.0599999999999</v>
      </c>
      <c r="I22" s="28" t="n">
        <v>3855.2</v>
      </c>
      <c r="J22" s="47" t="n">
        <v>17.35</v>
      </c>
      <c r="K22" s="47" t="n">
        <v>2.8</v>
      </c>
    </row>
    <row r="23">
      <c r="A23" s="8" t="inlineStr">
        <is>
          <t>Equity Value (億)</t>
        </is>
      </c>
      <c r="B23" s="14">
        <f>B21+B22</f>
        <v/>
      </c>
      <c r="C23" s="2" t="n"/>
      <c r="D23" s="2" t="n"/>
      <c r="E23" s="2" t="n"/>
      <c r="F23" s="2" t="inlineStr">
        <is>
          <t>2026-08-12</t>
        </is>
      </c>
      <c r="G23" s="95" t="n">
        <v>11400</v>
      </c>
      <c r="H23" s="28" t="n">
        <v>622.0599999999999</v>
      </c>
      <c r="I23" s="28" t="n">
        <v>3855.2</v>
      </c>
      <c r="J23" s="47" t="n">
        <v>18.33</v>
      </c>
      <c r="K23" s="47" t="n">
        <v>2.96</v>
      </c>
    </row>
    <row r="24">
      <c r="A24" s="2" t="inlineStr">
        <is>
          <t>Shares (M)</t>
        </is>
      </c>
      <c r="B24" s="12" t="n">
        <v>45.364</v>
      </c>
      <c r="C24" s="2" t="n"/>
      <c r="D24" s="2" t="n"/>
      <c r="E24" s="2" t="n"/>
      <c r="F24" s="2" t="inlineStr">
        <is>
          <t>2026-08-13</t>
        </is>
      </c>
      <c r="G24" s="95" t="n">
        <v>11880</v>
      </c>
      <c r="H24" s="28" t="n">
        <v>622.0599999999999</v>
      </c>
      <c r="I24" s="28" t="n">
        <v>3855.2</v>
      </c>
      <c r="J24" s="47" t="n">
        <v>19.1</v>
      </c>
      <c r="K24" s="47" t="n">
        <v>3.08</v>
      </c>
    </row>
    <row r="25">
      <c r="A25" s="8" t="inlineStr">
        <is>
          <t>DCF implied price (¥)</t>
        </is>
      </c>
      <c r="B25" s="52">
        <f>B23*100/B24</f>
        <v/>
      </c>
      <c r="C25" s="2" t="n"/>
      <c r="D25" s="2" t="n"/>
      <c r="E25" s="2" t="n"/>
      <c r="F25" s="2" t="inlineStr">
        <is>
          <t>2026-08-14</t>
        </is>
      </c>
      <c r="G25" s="95" t="n">
        <v>12370</v>
      </c>
      <c r="H25" s="28" t="n">
        <v>622.0599999999999</v>
      </c>
      <c r="I25" s="28" t="n">
        <v>3855.2</v>
      </c>
      <c r="J25" s="47" t="n">
        <v>19.89</v>
      </c>
      <c r="K25" s="47" t="n">
        <v>3.21</v>
      </c>
    </row>
    <row r="26">
      <c r="A26" s="2" t="inlineStr">
        <is>
          <t xml:space="preserve">  Net Cash floor (¥)</t>
        </is>
      </c>
      <c r="B26" s="26">
        <f>B22*100/B24</f>
        <v/>
      </c>
      <c r="C26" s="2" t="n"/>
      <c r="D26" s="2" t="n"/>
      <c r="E26" s="2" t="n"/>
      <c r="F26" s="2" t="inlineStr">
        <is>
          <t>2026-08-17</t>
        </is>
      </c>
      <c r="G26" s="95" t="n">
        <v>12660</v>
      </c>
      <c r="H26" s="28" t="n">
        <v>622.0599999999999</v>
      </c>
      <c r="I26" s="28" t="n">
        <v>3855.2</v>
      </c>
      <c r="J26" s="47" t="n">
        <v>20.35</v>
      </c>
      <c r="K26" s="47" t="n">
        <v>3.28</v>
      </c>
    </row>
    <row r="27">
      <c r="A27" s="2" t="n"/>
      <c r="B27" s="2" t="n"/>
      <c r="C27" s="2" t="n"/>
      <c r="D27" s="2" t="n"/>
      <c r="E27" s="2" t="n"/>
      <c r="F27" s="2" t="inlineStr">
        <is>
          <t>2026-08-18</t>
        </is>
      </c>
      <c r="G27" s="95" t="n">
        <v>12250</v>
      </c>
      <c r="H27" s="28" t="n">
        <v>622.0599999999999</v>
      </c>
      <c r="I27" s="28" t="n">
        <v>3855.2</v>
      </c>
      <c r="J27" s="47" t="n">
        <v>19.69</v>
      </c>
      <c r="K27" s="47" t="n">
        <v>3.18</v>
      </c>
    </row>
    <row r="28">
      <c r="A28" s="34" t="inlineStr">
        <is>
          <t>Method 2: P/E range (NTM blend)</t>
        </is>
      </c>
      <c r="B28" s="2" t="n"/>
      <c r="C28" s="2" t="n"/>
      <c r="D28" s="2" t="n"/>
      <c r="E28" s="2" t="n"/>
      <c r="F28" s="2" t="inlineStr">
        <is>
          <t>2026-08-19</t>
        </is>
      </c>
      <c r="G28" s="95" t="n">
        <v>11310</v>
      </c>
      <c r="H28" s="28" t="n">
        <v>622.0599999999999</v>
      </c>
      <c r="I28" s="28" t="n">
        <v>3855.2</v>
      </c>
      <c r="J28" s="47" t="n">
        <v>18.18</v>
      </c>
      <c r="K28" s="47" t="n">
        <v>2.93</v>
      </c>
    </row>
    <row r="29">
      <c r="A29" s="8" t="inlineStr">
        <is>
          <t>Blend weight on FY+1 (auto = days→FY end / 365)</t>
        </is>
      </c>
      <c r="B29" s="53">
        <f>MAX(0,MIN(1,1-(TODAY()-DATE(YEAR(TODAY())-IF(MONTH(TODAY())&gt;3,0,1),3+1,0))/365.25))</f>
        <v/>
      </c>
      <c r="C29" s="2" t="n"/>
      <c r="D29" s="2" t="n"/>
      <c r="E29" s="2" t="n"/>
      <c r="F29" s="2" t="inlineStr">
        <is>
          <t>2026-08-20</t>
        </is>
      </c>
      <c r="G29" s="95" t="n">
        <v>11230</v>
      </c>
      <c r="H29" s="28" t="n">
        <v>622.0599999999999</v>
      </c>
      <c r="I29" s="28" t="n">
        <v>3855.2</v>
      </c>
      <c r="J29" s="47" t="n">
        <v>18.05</v>
      </c>
      <c r="K29" s="47" t="n">
        <v>2.91</v>
      </c>
    </row>
    <row r="30">
      <c r="A30" s="2" t="inlineStr">
        <is>
          <t>FY+1 EPS forecast (¥, sum of 4Q)</t>
        </is>
      </c>
      <c r="B30" s="30">
        <f>FS!J22+FS!K22+FS!L22+FS!M22</f>
        <v/>
      </c>
      <c r="C30" s="2" t="n"/>
      <c r="D30" s="2" t="n"/>
      <c r="E30" s="2" t="n"/>
      <c r="F30" s="2" t="inlineStr">
        <is>
          <t>2026-08-21</t>
        </is>
      </c>
      <c r="G30" s="95" t="n">
        <v>11480</v>
      </c>
      <c r="H30" s="28" t="n">
        <v>622.0599999999999</v>
      </c>
      <c r="I30" s="28" t="n">
        <v>3855.2</v>
      </c>
      <c r="J30" s="47" t="n">
        <v>18.45</v>
      </c>
      <c r="K30" s="47" t="n">
        <v>2.98</v>
      </c>
    </row>
    <row r="31">
      <c r="A31" s="2" t="inlineStr">
        <is>
          <t>FY+2 EPS forecast (¥, sum of 4Q)</t>
        </is>
      </c>
      <c r="B31" s="30">
        <f>FS!N22+FS!O22+FS!P22+FS!Q22</f>
        <v/>
      </c>
      <c r="C31" s="2" t="n"/>
      <c r="D31" s="2" t="n"/>
      <c r="E31" s="2" t="n"/>
      <c r="F31" s="2" t="inlineStr">
        <is>
          <t>2026-08-24</t>
        </is>
      </c>
      <c r="G31" s="95" t="n">
        <v>11660</v>
      </c>
      <c r="H31" s="28" t="n">
        <v>622.0599999999999</v>
      </c>
      <c r="I31" s="28" t="n">
        <v>3855.2</v>
      </c>
      <c r="J31" s="47" t="n">
        <v>18.74</v>
      </c>
      <c r="K31" s="47" t="n">
        <v>3.02</v>
      </c>
    </row>
    <row r="32">
      <c r="A32" s="8" t="inlineStr">
        <is>
          <t>NTM EPS = w·FY+1 + (1−w)·FY+2</t>
        </is>
      </c>
      <c r="B32" s="52">
        <f>B29*B30+(1-B29)*B31</f>
        <v/>
      </c>
      <c r="C32" s="2" t="n"/>
      <c r="D32" s="2" t="n"/>
      <c r="E32" s="2" t="n"/>
      <c r="F32" s="2" t="inlineStr">
        <is>
          <t>2026-08-25</t>
        </is>
      </c>
      <c r="G32" s="95" t="n">
        <v>11580</v>
      </c>
      <c r="H32" s="28" t="n">
        <v>622.0599999999999</v>
      </c>
      <c r="I32" s="28" t="n">
        <v>3855.2</v>
      </c>
      <c r="J32" s="47" t="n">
        <v>18.62</v>
      </c>
      <c r="K32" s="47" t="n">
        <v>3</v>
      </c>
    </row>
    <row r="33">
      <c r="A33" s="2" t="inlineStr">
        <is>
          <t>5y mean P/E</t>
        </is>
      </c>
      <c r="B33" s="30">
        <f>Valuation!G5</f>
        <v/>
      </c>
      <c r="C33" s="2" t="n"/>
      <c r="D33" s="2" t="n"/>
      <c r="E33" s="2" t="n"/>
      <c r="F33" s="2" t="inlineStr">
        <is>
          <t>2026-08-26</t>
        </is>
      </c>
      <c r="G33" s="95" t="n">
        <v>11750</v>
      </c>
      <c r="H33" s="28" t="n">
        <v>622.0599999999999</v>
      </c>
      <c r="I33" s="28" t="n">
        <v>3855.2</v>
      </c>
      <c r="J33" s="47" t="n">
        <v>18.89</v>
      </c>
      <c r="K33" s="47" t="n">
        <v>3.05</v>
      </c>
    </row>
    <row r="34">
      <c r="A34" s="2" t="inlineStr">
        <is>
          <t>5y +1SD P/E</t>
        </is>
      </c>
      <c r="B34" s="30">
        <f>Valuation!G8</f>
        <v/>
      </c>
      <c r="C34" s="2" t="n"/>
      <c r="D34" s="2" t="n"/>
      <c r="E34" s="2" t="n"/>
      <c r="F34" s="2" t="inlineStr">
        <is>
          <t>2026-08-27</t>
        </is>
      </c>
      <c r="G34" s="95" t="n">
        <v>11960</v>
      </c>
      <c r="H34" s="28" t="n">
        <v>622.0599999999999</v>
      </c>
      <c r="I34" s="28" t="n">
        <v>3855.2</v>
      </c>
      <c r="J34" s="47" t="n">
        <v>19.23</v>
      </c>
      <c r="K34" s="47" t="n">
        <v>3.1</v>
      </c>
    </row>
    <row r="35">
      <c r="A35" s="2" t="inlineStr">
        <is>
          <t>5y −1SD P/E</t>
        </is>
      </c>
      <c r="B35" s="30">
        <f>Valuation!G9</f>
        <v/>
      </c>
      <c r="C35" s="2" t="n"/>
      <c r="D35" s="2" t="n"/>
      <c r="E35" s="2" t="n"/>
      <c r="F35" s="2" t="inlineStr">
        <is>
          <t>2026-08-28</t>
        </is>
      </c>
      <c r="G35" s="95" t="n">
        <v>11720</v>
      </c>
      <c r="H35" s="28" t="n">
        <v>622.0599999999999</v>
      </c>
      <c r="I35" s="28" t="n">
        <v>3855.2</v>
      </c>
      <c r="J35" s="47" t="n">
        <v>18.84</v>
      </c>
      <c r="K35" s="47" t="n">
        <v>3.04</v>
      </c>
    </row>
    <row r="36">
      <c r="A36" s="8" t="inlineStr">
        <is>
          <t>Implied @mean (NTM)</t>
        </is>
      </c>
      <c r="B36" s="52">
        <f>B32*B33</f>
        <v/>
      </c>
      <c r="C36" s="2" t="n"/>
      <c r="D36" s="2" t="n"/>
      <c r="E36" s="2" t="n"/>
      <c r="F36" s="2" t="inlineStr">
        <is>
          <t>2026-08-31</t>
        </is>
      </c>
      <c r="G36" s="95" t="n">
        <v>11870</v>
      </c>
      <c r="H36" s="28" t="n">
        <v>622.0599999999999</v>
      </c>
      <c r="I36" s="28" t="n">
        <v>3855.2</v>
      </c>
      <c r="J36" s="47" t="n">
        <v>19.08</v>
      </c>
      <c r="K36" s="47" t="n">
        <v>3.08</v>
      </c>
    </row>
    <row r="37">
      <c r="A37" s="2" t="inlineStr">
        <is>
          <t>Implied @+1SD</t>
        </is>
      </c>
      <c r="B37" s="26">
        <f>B32*B34</f>
        <v/>
      </c>
      <c r="C37" s="2" t="n"/>
      <c r="D37" s="2" t="n"/>
      <c r="E37" s="2" t="n"/>
      <c r="F37" s="2" t="inlineStr">
        <is>
          <t>2026-09-01</t>
        </is>
      </c>
      <c r="G37" s="95" t="n">
        <v>11260</v>
      </c>
      <c r="H37" s="28" t="n">
        <v>622.0599999999999</v>
      </c>
      <c r="I37" s="28" t="n">
        <v>3855.2</v>
      </c>
      <c r="J37" s="47" t="n">
        <v>18.1</v>
      </c>
      <c r="K37" s="47" t="n">
        <v>2.92</v>
      </c>
    </row>
    <row r="38">
      <c r="A38" s="2" t="inlineStr">
        <is>
          <t>Implied @−1SD</t>
        </is>
      </c>
      <c r="B38" s="26">
        <f>B32*B35</f>
        <v/>
      </c>
      <c r="C38" s="2" t="n"/>
      <c r="D38" s="2" t="n"/>
      <c r="E38" s="2" t="n"/>
      <c r="F38" s="2" t="inlineStr">
        <is>
          <t>2026-09-02</t>
        </is>
      </c>
      <c r="G38" s="95" t="n">
        <v>10680</v>
      </c>
      <c r="H38" s="28" t="n">
        <v>622.0599999999999</v>
      </c>
      <c r="I38" s="28" t="n">
        <v>3855.2</v>
      </c>
      <c r="J38" s="47" t="n">
        <v>17.17</v>
      </c>
      <c r="K38" s="47" t="n">
        <v>2.77</v>
      </c>
    </row>
    <row r="39">
      <c r="A39" s="2" t="n"/>
      <c r="B39" s="2" t="n"/>
      <c r="C39" s="2" t="n"/>
      <c r="D39" s="2" t="n"/>
      <c r="E39" s="2" t="n"/>
      <c r="F39" s="2" t="inlineStr">
        <is>
          <t>2026-09-03</t>
        </is>
      </c>
      <c r="G39" s="95" t="n">
        <v>10530</v>
      </c>
      <c r="H39" s="28" t="n">
        <v>622.0599999999999</v>
      </c>
      <c r="I39" s="28" t="n">
        <v>3855.2</v>
      </c>
      <c r="J39" s="47" t="n">
        <v>16.93</v>
      </c>
      <c r="K39" s="47" t="n">
        <v>2.73</v>
      </c>
    </row>
    <row r="40">
      <c r="A40" s="2" t="n"/>
      <c r="B40" s="2" t="n"/>
      <c r="C40" s="2" t="n"/>
      <c r="D40" s="2" t="n"/>
      <c r="E40" s="2" t="n"/>
      <c r="F40" s="2" t="inlineStr">
        <is>
          <t>2026-09-04</t>
        </is>
      </c>
      <c r="G40" s="95" t="n">
        <v>10800</v>
      </c>
      <c r="H40" s="28" t="n">
        <v>622.0599999999999</v>
      </c>
      <c r="I40" s="28" t="n">
        <v>3855.2</v>
      </c>
      <c r="J40" s="47" t="n">
        <v>17.36</v>
      </c>
      <c r="K40" s="47" t="n">
        <v>2.8</v>
      </c>
    </row>
    <row r="41">
      <c r="A41" s="34" t="inlineStr">
        <is>
          <t>Method 3: P/B range (NTM blend)</t>
        </is>
      </c>
      <c r="B41" s="2" t="n"/>
      <c r="C41" s="2" t="n"/>
      <c r="D41" s="2" t="n"/>
      <c r="E41" s="2" t="n"/>
      <c r="F41" s="2" t="inlineStr">
        <is>
          <t>2026-09-07</t>
        </is>
      </c>
      <c r="G41" s="95" t="n">
        <v>11200</v>
      </c>
      <c r="H41" s="28" t="n">
        <v>622.0599999999999</v>
      </c>
      <c r="I41" s="28" t="n">
        <v>3855.2</v>
      </c>
      <c r="J41" s="47" t="n">
        <v>18</v>
      </c>
      <c r="K41" s="47" t="n">
        <v>2.91</v>
      </c>
    </row>
    <row r="42">
      <c r="A42" s="8" t="inlineStr">
        <is>
          <t>Current BPS (latest, ¥/share)</t>
        </is>
      </c>
      <c r="B42" s="54">
        <f>Valuation!G15</f>
        <v/>
      </c>
      <c r="C42" s="2" t="n"/>
      <c r="D42" s="2" t="n"/>
      <c r="E42" s="2" t="n"/>
      <c r="F42" s="2" t="inlineStr">
        <is>
          <t>2026-09-08</t>
        </is>
      </c>
      <c r="G42" s="95" t="n">
        <v>10410</v>
      </c>
      <c r="H42" s="28" t="n">
        <v>622.0599999999999</v>
      </c>
      <c r="I42" s="28" t="n">
        <v>3855.2</v>
      </c>
      <c r="J42" s="47" t="n">
        <v>16.73</v>
      </c>
      <c r="K42" s="47" t="n">
        <v>2.7</v>
      </c>
    </row>
    <row r="43">
      <c r="A43" s="2" t="inlineStr">
        <is>
          <t xml:space="preserve">  + FY+1 ΔBPS (4Q NI × retention / shares)</t>
        </is>
      </c>
      <c r="B43" s="30">
        <f>(FS!K18+FS!L18+FS!M18)*(1-FS!B88/100)*100/FS!B89</f>
        <v/>
      </c>
      <c r="C43" s="2" t="n"/>
      <c r="D43" s="2" t="n"/>
      <c r="E43" s="2" t="n"/>
      <c r="F43" s="2" t="inlineStr">
        <is>
          <t>2026-09-09</t>
        </is>
      </c>
      <c r="G43" s="95" t="n">
        <v>10810</v>
      </c>
      <c r="H43" s="28" t="n">
        <v>622.0599999999999</v>
      </c>
      <c r="I43" s="28" t="n">
        <v>3855.2</v>
      </c>
      <c r="J43" s="47" t="n">
        <v>17.38</v>
      </c>
      <c r="K43" s="47" t="n">
        <v>2.8</v>
      </c>
    </row>
    <row r="44">
      <c r="A44" s="2" t="inlineStr">
        <is>
          <t xml:space="preserve">  + FY+2 ΔBPS (only when blend leans to FY+2)</t>
        </is>
      </c>
      <c r="B44" s="30">
        <f>(FS!N18+FS!O18+FS!P18+FS!Q18)*(1-FS!B88/100)*100/FS!B89</f>
        <v/>
      </c>
      <c r="C44" s="2" t="n"/>
      <c r="D44" s="2" t="n"/>
      <c r="E44" s="2" t="n"/>
      <c r="F44" s="2" t="inlineStr">
        <is>
          <t>2026-09-10</t>
        </is>
      </c>
      <c r="G44" s="95" t="n">
        <v>10670</v>
      </c>
      <c r="H44" s="28" t="n">
        <v>622.0599999999999</v>
      </c>
      <c r="I44" s="28" t="n">
        <v>3855.2</v>
      </c>
      <c r="J44" s="47" t="n">
        <v>17.15</v>
      </c>
      <c r="K44" s="47" t="n">
        <v>2.77</v>
      </c>
    </row>
    <row r="45">
      <c r="A45" s="8" t="inlineStr">
        <is>
          <t>NTM BPS = (current + ΔFY1 + (1−w)·ΔFY2)</t>
        </is>
      </c>
      <c r="B45" s="55">
        <f>B42+B43+(1-B29)*B44</f>
        <v/>
      </c>
      <c r="C45" s="2" t="n"/>
      <c r="D45" s="2" t="n"/>
      <c r="E45" s="2" t="n"/>
      <c r="F45" s="2" t="inlineStr">
        <is>
          <t>2026-09-11</t>
        </is>
      </c>
      <c r="G45" s="95" t="n">
        <v>10320</v>
      </c>
      <c r="H45" s="28" t="n">
        <v>622.0599999999999</v>
      </c>
      <c r="I45" s="28" t="n">
        <v>3855.2</v>
      </c>
      <c r="J45" s="47" t="n">
        <v>16.59</v>
      </c>
      <c r="K45" s="47" t="n">
        <v>2.68</v>
      </c>
    </row>
    <row r="46">
      <c r="A46" s="2" t="inlineStr">
        <is>
          <t>5y mean P/B</t>
        </is>
      </c>
      <c r="B46" s="56">
        <f>Valuation!H5</f>
        <v/>
      </c>
      <c r="C46" s="2" t="n"/>
      <c r="D46" s="2" t="n"/>
      <c r="E46" s="2" t="n"/>
      <c r="F46" s="2" t="inlineStr">
        <is>
          <t>2026-09-14</t>
        </is>
      </c>
      <c r="G46" s="95" t="n">
        <v>10430</v>
      </c>
      <c r="H46" s="28" t="n">
        <v>622.0599999999999</v>
      </c>
      <c r="I46" s="28" t="n">
        <v>3855.2</v>
      </c>
      <c r="J46" s="47" t="n">
        <v>16.77</v>
      </c>
      <c r="K46" s="47" t="n">
        <v>2.71</v>
      </c>
    </row>
    <row r="47">
      <c r="A47" s="2" t="inlineStr">
        <is>
          <t>5y +1SD P/B</t>
        </is>
      </c>
      <c r="B47" s="56">
        <f>Valuation!H8</f>
        <v/>
      </c>
      <c r="C47" s="2" t="n"/>
      <c r="D47" s="2" t="n"/>
      <c r="E47" s="2" t="n"/>
      <c r="F47" s="2" t="inlineStr">
        <is>
          <t>2026-09-15</t>
        </is>
      </c>
      <c r="G47" s="95" t="n">
        <v>10400</v>
      </c>
      <c r="H47" s="28" t="n">
        <v>622.0599999999999</v>
      </c>
      <c r="I47" s="28" t="n">
        <v>3855.2</v>
      </c>
      <c r="J47" s="47" t="n">
        <v>16.72</v>
      </c>
      <c r="K47" s="47" t="n">
        <v>2.7</v>
      </c>
    </row>
    <row r="48">
      <c r="A48" s="2" t="inlineStr">
        <is>
          <t>5y −1SD P/B</t>
        </is>
      </c>
      <c r="B48" s="56">
        <f>Valuation!H9</f>
        <v/>
      </c>
      <c r="C48" s="2" t="n"/>
      <c r="D48" s="2" t="n"/>
      <c r="E48" s="2" t="n"/>
      <c r="F48" s="2" t="inlineStr">
        <is>
          <t>2026-09-16</t>
        </is>
      </c>
      <c r="G48" s="95" t="n">
        <v>10540</v>
      </c>
      <c r="H48" s="28" t="n">
        <v>622.0599999999999</v>
      </c>
      <c r="I48" s="28" t="n">
        <v>3855.2</v>
      </c>
      <c r="J48" s="47" t="n">
        <v>16.94</v>
      </c>
      <c r="K48" s="47" t="n">
        <v>2.73</v>
      </c>
    </row>
    <row r="49">
      <c r="A49" s="8" t="inlineStr">
        <is>
          <t>Implied @mean (NTM)</t>
        </is>
      </c>
      <c r="B49" s="52">
        <f>B45*B46</f>
        <v/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Implied @+1SD</t>
        </is>
      </c>
      <c r="B50" s="26">
        <f>B45*B47</f>
        <v/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Implied @−1SD</t>
        </is>
      </c>
      <c r="B51" s="26">
        <f>B45*B48</f>
        <v/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57" t="inlineStr">
        <is>
          <t>VERDICT (NTM target)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8" t="inlineStr">
        <is>
          <t>Current Price (¥)</t>
        </is>
      </c>
      <c r="B55" s="54">
        <f>Valuation!G13</f>
        <v/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DCF target</t>
        </is>
      </c>
      <c r="B56" s="26">
        <f>B25</f>
        <v/>
      </c>
      <c r="C56" s="58">
        <f>IF(B55&lt;B56*0.9,"Cheap",IF(B55&gt;B56*1.1,"Rich","Fair"))</f>
        <v/>
      </c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inlineStr">
        <is>
          <t>P/E target (NTM)</t>
        </is>
      </c>
      <c r="B57" s="26">
        <f>B36</f>
        <v/>
      </c>
      <c r="C57" s="58">
        <f>IF(B55&lt;B38,"Cheap",IF(B55&gt;B37,"Rich","Fair"))</f>
        <v/>
      </c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inlineStr">
        <is>
          <t>P/B target (NTM)</t>
        </is>
      </c>
      <c r="B58" s="26">
        <f>B49</f>
        <v/>
      </c>
      <c r="C58" s="58">
        <f>IF(B55&lt;B51,"Cheap",IF(B55&gt;B50,"Rich","Fair"))</f>
        <v/>
      </c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8" t="inlineStr">
        <is>
          <t>Composite</t>
        </is>
      </c>
      <c r="B59" s="59">
        <f>IF(AND(C56="Cheap",C57="Cheap",C58="Cheap"),"CHEAP — buy",IF(AND(C56="Rich",C57="Rich",C58="Rich"),"RICH — sell",IF(OR(C56="Rich",C57="Rich",C58="Rich"),"Mixed-rich","Fair / Mixed-cheap")))</f>
        <v/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60" t="inlineStr">
        <is>
          <t>Industry / Macro Indicators — context for Meidensha (¥億, monthly)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Rows = indicators; Cols = months (latest right). Easy to plot. Sources: JMTBA + MOF 貿易統計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1" t="inlineStr">
        <is>
          <t>Indicator</t>
        </is>
      </c>
      <c r="B4" s="5" t="inlineStr">
        <is>
          <t>202408</t>
        </is>
      </c>
      <c r="C4" s="5" t="inlineStr">
        <is>
          <t>202409</t>
        </is>
      </c>
      <c r="D4" s="5" t="inlineStr">
        <is>
          <t>202410</t>
        </is>
      </c>
      <c r="E4" s="5" t="inlineStr">
        <is>
          <t>202411</t>
        </is>
      </c>
      <c r="F4" s="5" t="inlineStr">
        <is>
          <t>202412</t>
        </is>
      </c>
      <c r="G4" s="5" t="inlineStr">
        <is>
          <t>202501</t>
        </is>
      </c>
      <c r="H4" s="5" t="inlineStr">
        <is>
          <t>202502</t>
        </is>
      </c>
      <c r="I4" s="5" t="inlineStr">
        <is>
          <t>202503</t>
        </is>
      </c>
      <c r="J4" s="5" t="inlineStr">
        <is>
          <t>202504</t>
        </is>
      </c>
      <c r="K4" s="5" t="inlineStr">
        <is>
          <t>202505</t>
        </is>
      </c>
      <c r="L4" s="5" t="inlineStr">
        <is>
          <t>202506</t>
        </is>
      </c>
      <c r="M4" s="5" t="inlineStr">
        <is>
          <t>202507</t>
        </is>
      </c>
      <c r="N4" s="5" t="inlineStr">
        <is>
          <t>202508</t>
        </is>
      </c>
      <c r="O4" s="5" t="inlineStr">
        <is>
          <t>202509</t>
        </is>
      </c>
      <c r="P4" s="5" t="inlineStr">
        <is>
          <t>202510</t>
        </is>
      </c>
      <c r="Q4" s="5" t="inlineStr">
        <is>
          <t>202511</t>
        </is>
      </c>
      <c r="R4" s="5" t="inlineStr">
        <is>
          <t>202512</t>
        </is>
      </c>
      <c r="S4" s="5" t="inlineStr">
        <is>
          <t>202601</t>
        </is>
      </c>
      <c r="T4" s="5" t="inlineStr">
        <is>
          <t>202602</t>
        </is>
      </c>
      <c r="U4" s="5" t="inlineStr">
        <is>
          <t>202603</t>
        </is>
      </c>
      <c r="V4" s="5" t="inlineStr">
        <is>
          <t>202604</t>
        </is>
      </c>
      <c r="W4" s="5" t="inlineStr">
        <is>
          <t>202605</t>
        </is>
      </c>
      <c r="X4" s="5" t="inlineStr">
        <is>
          <t>202606</t>
        </is>
      </c>
      <c r="Y4" s="5" t="inlineStr">
        <is>
          <t>202607</t>
        </is>
      </c>
      <c r="Z4" s="5" t="inlineStr">
        <is>
          <t>202608</t>
        </is>
      </c>
    </row>
    <row r="5">
      <c r="A5" s="8" t="inlineStr">
        <is>
          <t>JMTBA total (億)</t>
        </is>
      </c>
      <c r="B5" s="12" t="n">
        <v>1107.7</v>
      </c>
      <c r="C5" s="12" t="n">
        <v>1253.6</v>
      </c>
      <c r="D5" s="12" t="n">
        <v>1225.5</v>
      </c>
      <c r="E5" s="12" t="n">
        <v>1193.3</v>
      </c>
      <c r="F5" s="12" t="n">
        <v>1430.9</v>
      </c>
      <c r="G5" s="12" t="n">
        <v>1161.5</v>
      </c>
      <c r="H5" s="12" t="n">
        <v>1182</v>
      </c>
      <c r="I5" s="12" t="n">
        <v>1511</v>
      </c>
      <c r="J5" s="12" t="n">
        <v>1302.1</v>
      </c>
      <c r="K5" s="12" t="n">
        <v>1287.2</v>
      </c>
      <c r="L5" s="12" t="n">
        <v>1331.6</v>
      </c>
      <c r="M5" s="12" t="n">
        <v>1283.6</v>
      </c>
      <c r="N5" s="12" t="n">
        <v>1201.7</v>
      </c>
      <c r="O5" s="12" t="n">
        <v>1391.5</v>
      </c>
      <c r="P5" s="12" t="n">
        <v>1434.6</v>
      </c>
      <c r="Q5" s="12" t="n">
        <v>1370</v>
      </c>
      <c r="R5" s="12" t="n">
        <v>1586.4</v>
      </c>
      <c r="S5" s="12" t="n">
        <v>1455.8</v>
      </c>
      <c r="T5" s="12" t="n">
        <v>1467.4</v>
      </c>
      <c r="U5" s="12" t="n">
        <v>1934.7</v>
      </c>
      <c r="V5" s="12" t="n">
        <v>1889.7</v>
      </c>
      <c r="W5" s="12" t="n">
        <v>1770.1</v>
      </c>
      <c r="X5" s="12" t="n">
        <v>2033.8</v>
      </c>
      <c r="Y5" s="12" t="n">
        <v>1930.9</v>
      </c>
      <c r="Z5" s="2" t="n"/>
    </row>
    <row r="6">
      <c r="A6" s="2" t="inlineStr">
        <is>
          <t xml:space="preserve">  total YoY %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61">
        <f>IFERROR(N5/B5-1,"")</f>
        <v/>
      </c>
      <c r="O6" s="61">
        <f>IFERROR(O5/C5-1,"")</f>
        <v/>
      </c>
      <c r="P6" s="61">
        <f>IFERROR(P5/D5-1,"")</f>
        <v/>
      </c>
      <c r="Q6" s="61">
        <f>IFERROR(Q5/E5-1,"")</f>
        <v/>
      </c>
      <c r="R6" s="61">
        <f>IFERROR(R5/F5-1,"")</f>
        <v/>
      </c>
      <c r="S6" s="61">
        <f>IFERROR(S5/G5-1,"")</f>
        <v/>
      </c>
      <c r="T6" s="61">
        <f>IFERROR(T5/H5-1,"")</f>
        <v/>
      </c>
      <c r="U6" s="61">
        <f>IFERROR(U5/I5-1,"")</f>
        <v/>
      </c>
      <c r="V6" s="61">
        <f>IFERROR(V5/J5-1,"")</f>
        <v/>
      </c>
      <c r="W6" s="61">
        <f>IFERROR(W5/K5-1,"")</f>
        <v/>
      </c>
      <c r="X6" s="61">
        <f>IFERROR(X5/L5-1,"")</f>
        <v/>
      </c>
      <c r="Y6" s="61">
        <f>IFERROR(Y5/M5-1,"")</f>
        <v/>
      </c>
      <c r="Z6" s="61">
        <f>IFERROR(Z5/N5-1,"")</f>
        <v/>
      </c>
    </row>
    <row r="7">
      <c r="A7" s="8" t="inlineStr">
        <is>
          <t>JMTBA domestic (億)</t>
        </is>
      </c>
      <c r="B7" s="12" t="n">
        <v>321.9</v>
      </c>
      <c r="C7" s="12" t="n">
        <v>415.3</v>
      </c>
      <c r="D7" s="12" t="n">
        <v>334.4</v>
      </c>
      <c r="E7" s="12" t="n">
        <v>343.3</v>
      </c>
      <c r="F7" s="12" t="n">
        <v>399.2</v>
      </c>
      <c r="G7" s="12" t="n">
        <v>320</v>
      </c>
      <c r="H7" s="12" t="n">
        <v>337.7</v>
      </c>
      <c r="I7" s="12" t="n">
        <v>492.6</v>
      </c>
      <c r="J7" s="12" t="n">
        <v>343.8</v>
      </c>
      <c r="K7" s="12" t="n">
        <v>330.2</v>
      </c>
      <c r="L7" s="12" t="n">
        <v>398.7</v>
      </c>
      <c r="M7" s="12" t="n">
        <v>354.5</v>
      </c>
      <c r="N7" s="12" t="n">
        <v>318.9</v>
      </c>
      <c r="O7" s="12" t="n">
        <v>436.4</v>
      </c>
      <c r="P7" s="12" t="n">
        <v>356.9</v>
      </c>
      <c r="Q7" s="12" t="n">
        <v>319.9</v>
      </c>
      <c r="R7" s="12" t="n">
        <v>399.1</v>
      </c>
      <c r="S7" s="12" t="n">
        <v>326.2</v>
      </c>
      <c r="T7" s="12" t="n">
        <v>371.6</v>
      </c>
      <c r="U7" s="12" t="n">
        <v>504.7</v>
      </c>
      <c r="V7" s="12" t="n">
        <v>492.9</v>
      </c>
      <c r="W7" s="12" t="n">
        <v>453.3</v>
      </c>
      <c r="X7" s="12" t="n">
        <v>580.2</v>
      </c>
      <c r="Y7" s="12" t="n">
        <v>532.4</v>
      </c>
      <c r="Z7" s="2" t="n"/>
    </row>
    <row r="8">
      <c r="A8" s="2" t="inlineStr">
        <is>
          <t xml:space="preserve">  domestic YoY %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61">
        <f>IFERROR(N7/B7-1,"")</f>
        <v/>
      </c>
      <c r="O8" s="61">
        <f>IFERROR(O7/C7-1,"")</f>
        <v/>
      </c>
      <c r="P8" s="61">
        <f>IFERROR(P7/D7-1,"")</f>
        <v/>
      </c>
      <c r="Q8" s="61">
        <f>IFERROR(Q7/E7-1,"")</f>
        <v/>
      </c>
      <c r="R8" s="61">
        <f>IFERROR(R7/F7-1,"")</f>
        <v/>
      </c>
      <c r="S8" s="61">
        <f>IFERROR(S7/G7-1,"")</f>
        <v/>
      </c>
      <c r="T8" s="61">
        <f>IFERROR(T7/H7-1,"")</f>
        <v/>
      </c>
      <c r="U8" s="61">
        <f>IFERROR(U7/I7-1,"")</f>
        <v/>
      </c>
      <c r="V8" s="61">
        <f>IFERROR(V7/J7-1,"")</f>
        <v/>
      </c>
      <c r="W8" s="61">
        <f>IFERROR(W7/K7-1,"")</f>
        <v/>
      </c>
      <c r="X8" s="61">
        <f>IFERROR(X7/L7-1,"")</f>
        <v/>
      </c>
      <c r="Y8" s="61">
        <f>IFERROR(Y7/M7-1,"")</f>
        <v/>
      </c>
      <c r="Z8" s="61">
        <f>IFERROR(Z7/N7-1,"")</f>
        <v/>
      </c>
    </row>
    <row r="9">
      <c r="A9" s="8" t="inlineStr">
        <is>
          <t>JMTBA foreign (億)</t>
        </is>
      </c>
      <c r="B9" s="12" t="n">
        <v>785.8</v>
      </c>
      <c r="C9" s="12" t="n">
        <v>838.3</v>
      </c>
      <c r="D9" s="12" t="n">
        <v>891.1</v>
      </c>
      <c r="E9" s="12" t="n">
        <v>850</v>
      </c>
      <c r="F9" s="12" t="n">
        <v>1031.7</v>
      </c>
      <c r="G9" s="12" t="n">
        <v>841.5</v>
      </c>
      <c r="H9" s="12" t="n">
        <v>844.3</v>
      </c>
      <c r="I9" s="12" t="n">
        <v>1018.4</v>
      </c>
      <c r="J9" s="12" t="n">
        <v>958.4</v>
      </c>
      <c r="K9" s="12" t="n">
        <v>957</v>
      </c>
      <c r="L9" s="12" t="n">
        <v>932.9</v>
      </c>
      <c r="M9" s="12" t="n">
        <v>929.1</v>
      </c>
      <c r="N9" s="12" t="n">
        <v>882.8</v>
      </c>
      <c r="O9" s="12" t="n">
        <v>955</v>
      </c>
      <c r="P9" s="12" t="n">
        <v>1077.6</v>
      </c>
      <c r="Q9" s="12" t="n">
        <v>1050.2</v>
      </c>
      <c r="R9" s="12" t="n">
        <v>1187.4</v>
      </c>
      <c r="S9" s="12" t="n">
        <v>1129.5</v>
      </c>
      <c r="T9" s="12" t="n">
        <v>1095.8</v>
      </c>
      <c r="U9" s="12" t="n">
        <v>1430</v>
      </c>
      <c r="V9" s="12" t="n">
        <v>1396.8</v>
      </c>
      <c r="W9" s="12" t="n">
        <v>1316.8</v>
      </c>
      <c r="X9" s="12" t="n">
        <v>1453.5</v>
      </c>
      <c r="Y9" s="12" t="n">
        <v>1398.5</v>
      </c>
      <c r="Z9" s="2" t="n"/>
    </row>
    <row r="10">
      <c r="A10" s="2" t="inlineStr">
        <is>
          <t xml:space="preserve">  foreign YoY %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61">
        <f>IFERROR(N9/B9-1,"")</f>
        <v/>
      </c>
      <c r="O10" s="61">
        <f>IFERROR(O9/C9-1,"")</f>
        <v/>
      </c>
      <c r="P10" s="61">
        <f>IFERROR(P9/D9-1,"")</f>
        <v/>
      </c>
      <c r="Q10" s="61">
        <f>IFERROR(Q9/E9-1,"")</f>
        <v/>
      </c>
      <c r="R10" s="61">
        <f>IFERROR(R9/F9-1,"")</f>
        <v/>
      </c>
      <c r="S10" s="61">
        <f>IFERROR(S9/G9-1,"")</f>
        <v/>
      </c>
      <c r="T10" s="61">
        <f>IFERROR(T9/H9-1,"")</f>
        <v/>
      </c>
      <c r="U10" s="61">
        <f>IFERROR(U9/I9-1,"")</f>
        <v/>
      </c>
      <c r="V10" s="61">
        <f>IFERROR(V9/J9-1,"")</f>
        <v/>
      </c>
      <c r="W10" s="61">
        <f>IFERROR(W9/K9-1,"")</f>
        <v/>
      </c>
      <c r="X10" s="61">
        <f>IFERROR(X9/L9-1,"")</f>
        <v/>
      </c>
      <c r="Y10" s="61">
        <f>IFERROR(Y9/M9-1,"")</f>
        <v/>
      </c>
      <c r="Z10" s="61">
        <f>IFERROR(Z9/N9-1,"")</f>
        <v/>
      </c>
    </row>
    <row r="11">
      <c r="A11" s="8" t="inlineStr">
        <is>
          <t>JMTBA backlog (億)</t>
        </is>
      </c>
      <c r="B11" s="12" t="n">
        <v>8005.3</v>
      </c>
      <c r="C11" s="12" t="n">
        <v>7677.2</v>
      </c>
      <c r="D11" s="12" t="n">
        <v>7751.9</v>
      </c>
      <c r="E11" s="12" t="n">
        <v>7700</v>
      </c>
      <c r="F11" s="12" t="n">
        <v>7678.2</v>
      </c>
      <c r="G11" s="12" t="n">
        <v>7726.6</v>
      </c>
      <c r="H11" s="12" t="n">
        <v>7599.4</v>
      </c>
      <c r="I11" s="12" t="n">
        <v>6924</v>
      </c>
      <c r="J11" s="12" t="n">
        <v>6957.6</v>
      </c>
      <c r="K11" s="12" t="n">
        <v>7131.3</v>
      </c>
      <c r="L11" s="12" t="n">
        <v>7175.2</v>
      </c>
      <c r="M11" s="12" t="n">
        <v>7251</v>
      </c>
      <c r="N11" s="12" t="n">
        <v>7292</v>
      </c>
      <c r="O11" s="12" t="n">
        <v>7329.6</v>
      </c>
      <c r="P11" s="12" t="n">
        <v>7564.8</v>
      </c>
      <c r="Q11" s="12" t="n">
        <v>7594.8</v>
      </c>
      <c r="R11" s="12" t="n">
        <v>7574.3</v>
      </c>
      <c r="S11" s="12" t="n">
        <v>7750.9</v>
      </c>
      <c r="T11" s="12" t="n">
        <v>8026.2</v>
      </c>
      <c r="U11" s="12" t="n">
        <v>8116.1</v>
      </c>
      <c r="V11" s="12" t="n">
        <v>8782.5</v>
      </c>
      <c r="W11" s="12" t="n">
        <v>9282.200000000001</v>
      </c>
      <c r="X11" s="12" t="n">
        <v>9665</v>
      </c>
      <c r="Y11" s="12" t="n">
        <v>10091.4</v>
      </c>
      <c r="Z11" s="2" t="n"/>
    </row>
    <row r="12">
      <c r="A12" s="2" t="inlineStr">
        <is>
          <t xml:space="preserve">  backlog YoY %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61">
        <f>IFERROR(N11/B11-1,"")</f>
        <v/>
      </c>
      <c r="O12" s="61">
        <f>IFERROR(O11/C11-1,"")</f>
        <v/>
      </c>
      <c r="P12" s="61">
        <f>IFERROR(P11/D11-1,"")</f>
        <v/>
      </c>
      <c r="Q12" s="61">
        <f>IFERROR(Q11/E11-1,"")</f>
        <v/>
      </c>
      <c r="R12" s="61">
        <f>IFERROR(R11/F11-1,"")</f>
        <v/>
      </c>
      <c r="S12" s="61">
        <f>IFERROR(S11/G11-1,"")</f>
        <v/>
      </c>
      <c r="T12" s="61">
        <f>IFERROR(T11/H11-1,"")</f>
        <v/>
      </c>
      <c r="U12" s="61">
        <f>IFERROR(U11/I11-1,"")</f>
        <v/>
      </c>
      <c r="V12" s="61">
        <f>IFERROR(V11/J11-1,"")</f>
        <v/>
      </c>
      <c r="W12" s="61">
        <f>IFERROR(W11/K11-1,"")</f>
        <v/>
      </c>
      <c r="X12" s="61">
        <f>IFERROR(X11/L11-1,"")</f>
        <v/>
      </c>
      <c r="Y12" s="61">
        <f>IFERROR(Y11/M11-1,"")</f>
        <v/>
      </c>
      <c r="Z12" s="61">
        <f>IFERROR(Z11/N11-1,"")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" t="inlineStr">
        <is>
          <t>JMTBA total 速報 (億)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12" t="n">
        <v>1935.1</v>
      </c>
      <c r="V14" s="12" t="n">
        <v>1889.7</v>
      </c>
      <c r="W14" s="12" t="n">
        <v>1768.3</v>
      </c>
      <c r="X14" s="12" t="n">
        <v>2035.2</v>
      </c>
      <c r="Y14" s="12" t="n">
        <v>1931</v>
      </c>
      <c r="Z14" s="12" t="n">
        <v>1978.8</v>
      </c>
    </row>
    <row r="15">
      <c r="A15" s="2" t="inlineStr">
        <is>
          <t xml:space="preserve">  total 速報 YoY %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61">
        <f>IFERROR(N14/B14-1,"")</f>
        <v/>
      </c>
      <c r="O15" s="61">
        <f>IFERROR(O14/C14-1,"")</f>
        <v/>
      </c>
      <c r="P15" s="61">
        <f>IFERROR(P14/D14-1,"")</f>
        <v/>
      </c>
      <c r="Q15" s="61">
        <f>IFERROR(Q14/E14-1,"")</f>
        <v/>
      </c>
      <c r="R15" s="61">
        <f>IFERROR(R14/F14-1,"")</f>
        <v/>
      </c>
      <c r="S15" s="61">
        <f>IFERROR(S14/G14-1,"")</f>
        <v/>
      </c>
      <c r="T15" s="61">
        <f>IFERROR(T14/H14-1,"")</f>
        <v/>
      </c>
      <c r="U15" s="61">
        <f>IFERROR(U14/I14-1,"")</f>
        <v/>
      </c>
      <c r="V15" s="61">
        <f>IFERROR(V14/J14-1,"")</f>
        <v/>
      </c>
      <c r="W15" s="61">
        <f>IFERROR(W14/K14-1,"")</f>
        <v/>
      </c>
      <c r="X15" s="61">
        <f>IFERROR(X14/L14-1,"")</f>
        <v/>
      </c>
      <c r="Y15" s="61">
        <f>IFERROR(Y14/M14-1,"")</f>
        <v/>
      </c>
      <c r="Z15" s="61">
        <f>IFERROR(Z14/N14-1,"")</f>
        <v/>
      </c>
    </row>
    <row r="16">
      <c r="A16" s="8" t="inlineStr">
        <is>
          <t>JMTBA domestic 速報 (億)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12" t="n">
        <v>505.1</v>
      </c>
      <c r="V16" s="12" t="n">
        <v>492.9</v>
      </c>
      <c r="W16" s="12" t="n">
        <v>450.4</v>
      </c>
      <c r="X16" s="12" t="n">
        <v>580.2</v>
      </c>
      <c r="Y16" s="12" t="n">
        <v>532.4</v>
      </c>
      <c r="Z16" s="12" t="n">
        <v>515.3</v>
      </c>
    </row>
    <row r="17">
      <c r="A17" s="2" t="inlineStr">
        <is>
          <t xml:space="preserve">  domestic 速報 YoY %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61">
        <f>IFERROR(N16/B16-1,"")</f>
        <v/>
      </c>
      <c r="O17" s="61">
        <f>IFERROR(O16/C16-1,"")</f>
        <v/>
      </c>
      <c r="P17" s="61">
        <f>IFERROR(P16/D16-1,"")</f>
        <v/>
      </c>
      <c r="Q17" s="61">
        <f>IFERROR(Q16/E16-1,"")</f>
        <v/>
      </c>
      <c r="R17" s="61">
        <f>IFERROR(R16/F16-1,"")</f>
        <v/>
      </c>
      <c r="S17" s="61">
        <f>IFERROR(S16/G16-1,"")</f>
        <v/>
      </c>
      <c r="T17" s="61">
        <f>IFERROR(T16/H16-1,"")</f>
        <v/>
      </c>
      <c r="U17" s="61">
        <f>IFERROR(U16/I16-1,"")</f>
        <v/>
      </c>
      <c r="V17" s="61">
        <f>IFERROR(V16/J16-1,"")</f>
        <v/>
      </c>
      <c r="W17" s="61">
        <f>IFERROR(W16/K16-1,"")</f>
        <v/>
      </c>
      <c r="X17" s="61">
        <f>IFERROR(X16/L16-1,"")</f>
        <v/>
      </c>
      <c r="Y17" s="61">
        <f>IFERROR(Y16/M16-1,"")</f>
        <v/>
      </c>
      <c r="Z17" s="61">
        <f>IFERROR(Z16/N16-1,"")</f>
        <v/>
      </c>
    </row>
    <row r="18">
      <c r="A18" s="8" t="inlineStr">
        <is>
          <t>JMTBA foreign 速報 (億)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12" t="n">
        <v>1430</v>
      </c>
      <c r="V18" s="12" t="n">
        <v>1396.8</v>
      </c>
      <c r="W18" s="12" t="n">
        <v>1318</v>
      </c>
      <c r="X18" s="12" t="n">
        <v>1455</v>
      </c>
      <c r="Y18" s="12" t="n">
        <v>1398.6</v>
      </c>
      <c r="Z18" s="12" t="n">
        <v>1463.5</v>
      </c>
    </row>
    <row r="19">
      <c r="A19" s="2" t="inlineStr">
        <is>
          <t xml:space="preserve">  foreign 速報 YoY %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61">
        <f>IFERROR(N18/B18-1,"")</f>
        <v/>
      </c>
      <c r="O19" s="61">
        <f>IFERROR(O18/C18-1,"")</f>
        <v/>
      </c>
      <c r="P19" s="61">
        <f>IFERROR(P18/D18-1,"")</f>
        <v/>
      </c>
      <c r="Q19" s="61">
        <f>IFERROR(Q18/E18-1,"")</f>
        <v/>
      </c>
      <c r="R19" s="61">
        <f>IFERROR(R18/F18-1,"")</f>
        <v/>
      </c>
      <c r="S19" s="61">
        <f>IFERROR(S18/G18-1,"")</f>
        <v/>
      </c>
      <c r="T19" s="61">
        <f>IFERROR(T18/H18-1,"")</f>
        <v/>
      </c>
      <c r="U19" s="61">
        <f>IFERROR(U18/I18-1,"")</f>
        <v/>
      </c>
      <c r="V19" s="61">
        <f>IFERROR(V18/J18-1,"")</f>
        <v/>
      </c>
      <c r="W19" s="61">
        <f>IFERROR(W18/K18-1,"")</f>
        <v/>
      </c>
      <c r="X19" s="61">
        <f>IFERROR(X18/L18-1,"")</f>
        <v/>
      </c>
      <c r="Y19" s="61">
        <f>IFERROR(Y18/M18-1,"")</f>
        <v/>
      </c>
      <c r="Z19" s="61">
        <f>IFERROR(Z18/N18-1,"")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8" t="inlineStr">
        <is>
          <t>JMTBA 中国 (億)</t>
        </is>
      </c>
      <c r="B21" s="12" t="n">
        <v>285.3</v>
      </c>
      <c r="C21" s="12" t="n">
        <v>274.2</v>
      </c>
      <c r="D21" s="12" t="n">
        <v>290</v>
      </c>
      <c r="E21" s="12" t="n">
        <v>293.2</v>
      </c>
      <c r="F21" s="12" t="n">
        <v>362.5</v>
      </c>
      <c r="G21" s="12" t="n">
        <v>276</v>
      </c>
      <c r="H21" s="12" t="n">
        <v>266.8</v>
      </c>
      <c r="I21" s="12" t="n">
        <v>360.9</v>
      </c>
      <c r="J21" s="12" t="n">
        <v>339.8</v>
      </c>
      <c r="K21" s="12" t="n">
        <v>309.5</v>
      </c>
      <c r="L21" s="12" t="n">
        <v>321.8</v>
      </c>
      <c r="M21" s="12" t="n">
        <v>319.5</v>
      </c>
      <c r="N21" s="12" t="n">
        <v>293.2</v>
      </c>
      <c r="O21" s="12" t="n">
        <v>342.8</v>
      </c>
      <c r="P21" s="12" t="n">
        <v>317.9</v>
      </c>
      <c r="Q21" s="12" t="n">
        <v>381.3</v>
      </c>
      <c r="R21" s="12" t="n">
        <v>371.2</v>
      </c>
      <c r="S21" s="12" t="n">
        <v>433</v>
      </c>
      <c r="T21" s="12" t="n">
        <v>374.6</v>
      </c>
      <c r="U21" s="12" t="n">
        <v>513.5</v>
      </c>
      <c r="V21" s="12" t="n">
        <v>533.3</v>
      </c>
      <c r="W21" s="12" t="n">
        <v>512.5</v>
      </c>
      <c r="X21" s="12" t="n">
        <v>564.9</v>
      </c>
      <c r="Y21" s="12" t="n">
        <v>486.3</v>
      </c>
      <c r="Z21" s="2" t="n"/>
    </row>
    <row r="22">
      <c r="A22" s="2" t="inlineStr">
        <is>
          <t xml:space="preserve">  中国 YoY %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61">
        <f>IFERROR(N21/B21-1,"")</f>
        <v/>
      </c>
      <c r="O22" s="61">
        <f>IFERROR(O21/C21-1,"")</f>
        <v/>
      </c>
      <c r="P22" s="61">
        <f>IFERROR(P21/D21-1,"")</f>
        <v/>
      </c>
      <c r="Q22" s="61">
        <f>IFERROR(Q21/E21-1,"")</f>
        <v/>
      </c>
      <c r="R22" s="61">
        <f>IFERROR(R21/F21-1,"")</f>
        <v/>
      </c>
      <c r="S22" s="61">
        <f>IFERROR(S21/G21-1,"")</f>
        <v/>
      </c>
      <c r="T22" s="61">
        <f>IFERROR(T21/H21-1,"")</f>
        <v/>
      </c>
      <c r="U22" s="61">
        <f>IFERROR(U21/I21-1,"")</f>
        <v/>
      </c>
      <c r="V22" s="61">
        <f>IFERROR(V21/J21-1,"")</f>
        <v/>
      </c>
      <c r="W22" s="61">
        <f>IFERROR(W21/K21-1,"")</f>
        <v/>
      </c>
      <c r="X22" s="61">
        <f>IFERROR(X21/L21-1,"")</f>
        <v/>
      </c>
      <c r="Y22" s="61">
        <f>IFERROR(Y21/M21-1,"")</f>
        <v/>
      </c>
      <c r="Z22" s="61">
        <f>IFERROR(Z21/N21-1,"")</f>
        <v/>
      </c>
    </row>
    <row r="23">
      <c r="A23" s="8" t="inlineStr">
        <is>
          <t>JMTBA アメリカ (億)</t>
        </is>
      </c>
      <c r="B23" s="12" t="n">
        <v>205.1</v>
      </c>
      <c r="C23" s="12" t="n">
        <v>221.6</v>
      </c>
      <c r="D23" s="12" t="n">
        <v>174.2</v>
      </c>
      <c r="E23" s="12" t="n">
        <v>235.8</v>
      </c>
      <c r="F23" s="12" t="n">
        <v>289.4</v>
      </c>
      <c r="G23" s="12" t="n">
        <v>207.7</v>
      </c>
      <c r="H23" s="12" t="n">
        <v>230.3</v>
      </c>
      <c r="I23" s="12" t="n">
        <v>247</v>
      </c>
      <c r="J23" s="12" t="n">
        <v>272.3</v>
      </c>
      <c r="K23" s="12" t="n">
        <v>289.9</v>
      </c>
      <c r="L23" s="12" t="n">
        <v>249.3</v>
      </c>
      <c r="M23" s="12" t="n">
        <v>237.9</v>
      </c>
      <c r="N23" s="12" t="n">
        <v>240.8</v>
      </c>
      <c r="O23" s="12" t="n">
        <v>259</v>
      </c>
      <c r="P23" s="12" t="n">
        <v>282.9</v>
      </c>
      <c r="Q23" s="12" t="n">
        <v>263.9</v>
      </c>
      <c r="R23" s="12" t="n">
        <v>345.8</v>
      </c>
      <c r="S23" s="12" t="n">
        <v>310.9</v>
      </c>
      <c r="T23" s="12" t="n">
        <v>312.1</v>
      </c>
      <c r="U23" s="12" t="n">
        <v>392.6</v>
      </c>
      <c r="V23" s="12" t="n">
        <v>358.1</v>
      </c>
      <c r="W23" s="12" t="n">
        <v>303.5</v>
      </c>
      <c r="X23" s="12" t="n">
        <v>360</v>
      </c>
      <c r="Y23" s="12" t="n">
        <v>371.1</v>
      </c>
      <c r="Z23" s="2" t="n"/>
    </row>
    <row r="24">
      <c r="A24" s="2" t="inlineStr">
        <is>
          <t xml:space="preserve">  アメリカ YoY %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61">
        <f>IFERROR(N23/B23-1,"")</f>
        <v/>
      </c>
      <c r="O24" s="61">
        <f>IFERROR(O23/C23-1,"")</f>
        <v/>
      </c>
      <c r="P24" s="61">
        <f>IFERROR(P23/D23-1,"")</f>
        <v/>
      </c>
      <c r="Q24" s="61">
        <f>IFERROR(Q23/E23-1,"")</f>
        <v/>
      </c>
      <c r="R24" s="61">
        <f>IFERROR(R23/F23-1,"")</f>
        <v/>
      </c>
      <c r="S24" s="61">
        <f>IFERROR(S23/G23-1,"")</f>
        <v/>
      </c>
      <c r="T24" s="61">
        <f>IFERROR(T23/H23-1,"")</f>
        <v/>
      </c>
      <c r="U24" s="61">
        <f>IFERROR(U23/I23-1,"")</f>
        <v/>
      </c>
      <c r="V24" s="61">
        <f>IFERROR(V23/J23-1,"")</f>
        <v/>
      </c>
      <c r="W24" s="61">
        <f>IFERROR(W23/K23-1,"")</f>
        <v/>
      </c>
      <c r="X24" s="61">
        <f>IFERROR(X23/L23-1,"")</f>
        <v/>
      </c>
      <c r="Y24" s="61">
        <f>IFERROR(Y23/M23-1,"")</f>
        <v/>
      </c>
      <c r="Z24" s="61">
        <f>IFERROR(Z23/N23-1,"")</f>
        <v/>
      </c>
    </row>
    <row r="25">
      <c r="A25" s="8" t="inlineStr">
        <is>
          <t>JMTBA インド (億)</t>
        </is>
      </c>
      <c r="B25" s="12" t="n">
        <v>52.7</v>
      </c>
      <c r="C25" s="12" t="n">
        <v>55.3</v>
      </c>
      <c r="D25" s="12" t="n">
        <v>97.09999999999999</v>
      </c>
      <c r="E25" s="12" t="n">
        <v>55.6</v>
      </c>
      <c r="F25" s="12" t="n">
        <v>50.6</v>
      </c>
      <c r="G25" s="12" t="n">
        <v>83.90000000000001</v>
      </c>
      <c r="H25" s="12" t="n">
        <v>53.9</v>
      </c>
      <c r="I25" s="12" t="n">
        <v>98.2</v>
      </c>
      <c r="J25" s="12" t="n">
        <v>47.4</v>
      </c>
      <c r="K25" s="12" t="n">
        <v>45.3</v>
      </c>
      <c r="L25" s="12" t="n">
        <v>51.4</v>
      </c>
      <c r="M25" s="12" t="n">
        <v>61.1</v>
      </c>
      <c r="N25" s="12" t="n">
        <v>49.8</v>
      </c>
      <c r="O25" s="12" t="n">
        <v>53.2</v>
      </c>
      <c r="P25" s="12" t="n">
        <v>49</v>
      </c>
      <c r="Q25" s="12" t="n">
        <v>59</v>
      </c>
      <c r="R25" s="12" t="n">
        <v>63.9</v>
      </c>
      <c r="S25" s="12" t="n">
        <v>58.4</v>
      </c>
      <c r="T25" s="12" t="n">
        <v>78.8</v>
      </c>
      <c r="U25" s="12" t="n">
        <v>116.6</v>
      </c>
      <c r="V25" s="12" t="n">
        <v>76.59999999999999</v>
      </c>
      <c r="W25" s="12" t="n">
        <v>57.7</v>
      </c>
      <c r="X25" s="12" t="n">
        <v>91.59999999999999</v>
      </c>
      <c r="Y25" s="12" t="n">
        <v>72.8</v>
      </c>
      <c r="Z25" s="2" t="n"/>
    </row>
    <row r="26">
      <c r="A26" s="2" t="inlineStr">
        <is>
          <t xml:space="preserve">  インド YoY %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61">
        <f>IFERROR(N25/B25-1,"")</f>
        <v/>
      </c>
      <c r="O26" s="61">
        <f>IFERROR(O25/C25-1,"")</f>
        <v/>
      </c>
      <c r="P26" s="61">
        <f>IFERROR(P25/D25-1,"")</f>
        <v/>
      </c>
      <c r="Q26" s="61">
        <f>IFERROR(Q25/E25-1,"")</f>
        <v/>
      </c>
      <c r="R26" s="61">
        <f>IFERROR(R25/F25-1,"")</f>
        <v/>
      </c>
      <c r="S26" s="61">
        <f>IFERROR(S25/G25-1,"")</f>
        <v/>
      </c>
      <c r="T26" s="61">
        <f>IFERROR(T25/H25-1,"")</f>
        <v/>
      </c>
      <c r="U26" s="61">
        <f>IFERROR(U25/I25-1,"")</f>
        <v/>
      </c>
      <c r="V26" s="61">
        <f>IFERROR(V25/J25-1,"")</f>
        <v/>
      </c>
      <c r="W26" s="61">
        <f>IFERROR(W25/K25-1,"")</f>
        <v/>
      </c>
      <c r="X26" s="61">
        <f>IFERROR(X25/L25-1,"")</f>
        <v/>
      </c>
      <c r="Y26" s="61">
        <f>IFERROR(Y25/M25-1,"")</f>
        <v/>
      </c>
      <c r="Z26" s="61">
        <f>IFERROR(Z25/N25-1,"")</f>
        <v/>
      </c>
    </row>
    <row r="27">
      <c r="A27" s="8" t="inlineStr">
        <is>
          <t>JMTBA 台湾 (億)</t>
        </is>
      </c>
      <c r="B27" s="12" t="n">
        <v>11.3</v>
      </c>
      <c r="C27" s="12" t="n">
        <v>23.2</v>
      </c>
      <c r="D27" s="12" t="n">
        <v>16.8</v>
      </c>
      <c r="E27" s="12" t="n">
        <v>10.3</v>
      </c>
      <c r="F27" s="12" t="n">
        <v>16.4</v>
      </c>
      <c r="G27" s="12" t="n">
        <v>12.8</v>
      </c>
      <c r="H27" s="12" t="n">
        <v>16.8</v>
      </c>
      <c r="I27" s="12" t="n">
        <v>21.8</v>
      </c>
      <c r="J27" s="12" t="n">
        <v>18.2</v>
      </c>
      <c r="K27" s="12" t="n">
        <v>16.2</v>
      </c>
      <c r="L27" s="12" t="n">
        <v>12.7</v>
      </c>
      <c r="M27" s="12" t="n">
        <v>15.5</v>
      </c>
      <c r="N27" s="12" t="n">
        <v>11.2</v>
      </c>
      <c r="O27" s="12" t="n">
        <v>14.9</v>
      </c>
      <c r="P27" s="12" t="n">
        <v>21.4</v>
      </c>
      <c r="Q27" s="12" t="n">
        <v>18.1</v>
      </c>
      <c r="R27" s="12" t="n">
        <v>13.3</v>
      </c>
      <c r="S27" s="12" t="n">
        <v>33.6</v>
      </c>
      <c r="T27" s="12" t="n">
        <v>19</v>
      </c>
      <c r="U27" s="12" t="n">
        <v>22</v>
      </c>
      <c r="V27" s="12" t="n">
        <v>33.8</v>
      </c>
      <c r="W27" s="12" t="n">
        <v>49.4</v>
      </c>
      <c r="X27" s="12" t="n">
        <v>35.8</v>
      </c>
      <c r="Y27" s="12" t="n">
        <v>40.5</v>
      </c>
      <c r="Z27" s="2" t="n"/>
    </row>
    <row r="28">
      <c r="A28" s="2" t="inlineStr">
        <is>
          <t xml:space="preserve">  台湾 YoY %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61">
        <f>IFERROR(N27/B27-1,"")</f>
        <v/>
      </c>
      <c r="O28" s="61">
        <f>IFERROR(O27/C27-1,"")</f>
        <v/>
      </c>
      <c r="P28" s="61">
        <f>IFERROR(P27/D27-1,"")</f>
        <v/>
      </c>
      <c r="Q28" s="61">
        <f>IFERROR(Q27/E27-1,"")</f>
        <v/>
      </c>
      <c r="R28" s="61">
        <f>IFERROR(R27/F27-1,"")</f>
        <v/>
      </c>
      <c r="S28" s="61">
        <f>IFERROR(S27/G27-1,"")</f>
        <v/>
      </c>
      <c r="T28" s="61">
        <f>IFERROR(T27/H27-1,"")</f>
        <v/>
      </c>
      <c r="U28" s="61">
        <f>IFERROR(U27/I27-1,"")</f>
        <v/>
      </c>
      <c r="V28" s="61">
        <f>IFERROR(V27/J27-1,"")</f>
        <v/>
      </c>
      <c r="W28" s="61">
        <f>IFERROR(W27/K27-1,"")</f>
        <v/>
      </c>
      <c r="X28" s="61">
        <f>IFERROR(X27/L27-1,"")</f>
        <v/>
      </c>
      <c r="Y28" s="61">
        <f>IFERROR(Y27/M27-1,"")</f>
        <v/>
      </c>
      <c r="Z28" s="61">
        <f>IFERROR(Z27/N27-1,"")</f>
        <v/>
      </c>
    </row>
    <row r="29">
      <c r="A29" s="8" t="inlineStr">
        <is>
          <t>JMTBA 韓国 (億)</t>
        </is>
      </c>
      <c r="B29" s="12" t="n">
        <v>38.3</v>
      </c>
      <c r="C29" s="12" t="n">
        <v>20.4</v>
      </c>
      <c r="D29" s="12" t="n">
        <v>28.4</v>
      </c>
      <c r="E29" s="12" t="n">
        <v>15.1</v>
      </c>
      <c r="F29" s="12" t="n">
        <v>24</v>
      </c>
      <c r="G29" s="12" t="n">
        <v>26.3</v>
      </c>
      <c r="H29" s="12" t="n">
        <v>30.4</v>
      </c>
      <c r="I29" s="12" t="n">
        <v>25.9</v>
      </c>
      <c r="J29" s="12" t="n">
        <v>32.4</v>
      </c>
      <c r="K29" s="12" t="n">
        <v>24</v>
      </c>
      <c r="L29" s="12" t="n">
        <v>19.4</v>
      </c>
      <c r="M29" s="12" t="n">
        <v>18.4</v>
      </c>
      <c r="N29" s="12" t="n">
        <v>20.9</v>
      </c>
      <c r="O29" s="12" t="n">
        <v>25.3</v>
      </c>
      <c r="P29" s="12" t="n">
        <v>43.1</v>
      </c>
      <c r="Q29" s="12" t="n">
        <v>28.4</v>
      </c>
      <c r="R29" s="12" t="n">
        <v>19.2</v>
      </c>
      <c r="S29" s="12" t="n">
        <v>28.4</v>
      </c>
      <c r="T29" s="12" t="n">
        <v>30</v>
      </c>
      <c r="U29" s="12" t="n">
        <v>26.6</v>
      </c>
      <c r="V29" s="12" t="n">
        <v>37.5</v>
      </c>
      <c r="W29" s="12" t="n">
        <v>19.8</v>
      </c>
      <c r="X29" s="12" t="n">
        <v>33.5</v>
      </c>
      <c r="Y29" s="12" t="n">
        <v>50</v>
      </c>
      <c r="Z29" s="2" t="n"/>
    </row>
    <row r="30">
      <c r="A30" s="2" t="inlineStr">
        <is>
          <t xml:space="preserve">  韓国 YoY %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61">
        <f>IFERROR(N29/B29-1,"")</f>
        <v/>
      </c>
      <c r="O30" s="61">
        <f>IFERROR(O29/C29-1,"")</f>
        <v/>
      </c>
      <c r="P30" s="61">
        <f>IFERROR(P29/D29-1,"")</f>
        <v/>
      </c>
      <c r="Q30" s="61">
        <f>IFERROR(Q29/E29-1,"")</f>
        <v/>
      </c>
      <c r="R30" s="61">
        <f>IFERROR(R29/F29-1,"")</f>
        <v/>
      </c>
      <c r="S30" s="61">
        <f>IFERROR(S29/G29-1,"")</f>
        <v/>
      </c>
      <c r="T30" s="61">
        <f>IFERROR(T29/H29-1,"")</f>
        <v/>
      </c>
      <c r="U30" s="61">
        <f>IFERROR(U29/I29-1,"")</f>
        <v/>
      </c>
      <c r="V30" s="61">
        <f>IFERROR(V29/J29-1,"")</f>
        <v/>
      </c>
      <c r="W30" s="61">
        <f>IFERROR(W29/K29-1,"")</f>
        <v/>
      </c>
      <c r="X30" s="61">
        <f>IFERROR(X29/L29-1,"")</f>
        <v/>
      </c>
      <c r="Y30" s="61">
        <f>IFERROR(Y29/M29-1,"")</f>
        <v/>
      </c>
      <c r="Z30" s="61">
        <f>IFERROR(Z29/N29-1,"")</f>
        <v/>
      </c>
    </row>
    <row r="31">
      <c r="A31" s="8" t="inlineStr">
        <is>
          <t>JMTBA ドイツ (億)</t>
        </is>
      </c>
      <c r="B31" s="12" t="n">
        <v>25.3</v>
      </c>
      <c r="C31" s="12" t="n">
        <v>35.8</v>
      </c>
      <c r="D31" s="12" t="n">
        <v>26.1</v>
      </c>
      <c r="E31" s="12" t="n">
        <v>27.8</v>
      </c>
      <c r="F31" s="12" t="n">
        <v>29.1</v>
      </c>
      <c r="G31" s="12" t="n">
        <v>30.4</v>
      </c>
      <c r="H31" s="12" t="n">
        <v>37.9</v>
      </c>
      <c r="I31" s="12" t="n">
        <v>34.8</v>
      </c>
      <c r="J31" s="12" t="n">
        <v>33.8</v>
      </c>
      <c r="K31" s="12" t="n">
        <v>36.3</v>
      </c>
      <c r="L31" s="12" t="n">
        <v>35.5</v>
      </c>
      <c r="M31" s="12" t="n">
        <v>34.4</v>
      </c>
      <c r="N31" s="12" t="n">
        <v>27.2</v>
      </c>
      <c r="O31" s="12" t="n">
        <v>36</v>
      </c>
      <c r="P31" s="12" t="n">
        <v>43</v>
      </c>
      <c r="Q31" s="12" t="n">
        <v>41.6</v>
      </c>
      <c r="R31" s="12" t="n">
        <v>42.8</v>
      </c>
      <c r="S31" s="12" t="n">
        <v>38.1</v>
      </c>
      <c r="T31" s="12" t="n">
        <v>39.5</v>
      </c>
      <c r="U31" s="12" t="n">
        <v>42.9</v>
      </c>
      <c r="V31" s="12" t="n">
        <v>44.7</v>
      </c>
      <c r="W31" s="12" t="n">
        <v>32.2</v>
      </c>
      <c r="X31" s="12" t="n">
        <v>32.6</v>
      </c>
      <c r="Y31" s="12" t="n">
        <v>46.8</v>
      </c>
      <c r="Z31" s="2" t="n"/>
    </row>
    <row r="32">
      <c r="A32" s="2" t="inlineStr">
        <is>
          <t xml:space="preserve">  ドイツ YoY %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61">
        <f>IFERROR(N31/B31-1,"")</f>
        <v/>
      </c>
      <c r="O32" s="61">
        <f>IFERROR(O31/C31-1,"")</f>
        <v/>
      </c>
      <c r="P32" s="61">
        <f>IFERROR(P31/D31-1,"")</f>
        <v/>
      </c>
      <c r="Q32" s="61">
        <f>IFERROR(Q31/E31-1,"")</f>
        <v/>
      </c>
      <c r="R32" s="61">
        <f>IFERROR(R31/F31-1,"")</f>
        <v/>
      </c>
      <c r="S32" s="61">
        <f>IFERROR(S31/G31-1,"")</f>
        <v/>
      </c>
      <c r="T32" s="61">
        <f>IFERROR(T31/H31-1,"")</f>
        <v/>
      </c>
      <c r="U32" s="61">
        <f>IFERROR(U31/I31-1,"")</f>
        <v/>
      </c>
      <c r="V32" s="61">
        <f>IFERROR(V31/J31-1,"")</f>
        <v/>
      </c>
      <c r="W32" s="61">
        <f>IFERROR(W31/K31-1,"")</f>
        <v/>
      </c>
      <c r="X32" s="61">
        <f>IFERROR(X31/L31-1,"")</f>
        <v/>
      </c>
      <c r="Y32" s="61">
        <f>IFERROR(Y31/M31-1,"")</f>
        <v/>
      </c>
      <c r="Z32" s="61">
        <f>IFERROR(Z31/N31-1,"")</f>
        <v/>
      </c>
    </row>
    <row r="33">
      <c r="A33" s="8" t="inlineStr">
        <is>
          <t>JMTBA うち自動車部品 (億)</t>
        </is>
      </c>
      <c r="B33" s="12" t="n">
        <v>50.9</v>
      </c>
      <c r="C33" s="12" t="n">
        <v>54.1</v>
      </c>
      <c r="D33" s="12" t="n">
        <v>44.9</v>
      </c>
      <c r="E33" s="12" t="n">
        <v>35.1</v>
      </c>
      <c r="F33" s="12" t="n">
        <v>52.6</v>
      </c>
      <c r="G33" s="12" t="n">
        <v>36.8</v>
      </c>
      <c r="H33" s="12" t="n">
        <v>53.6</v>
      </c>
      <c r="I33" s="12" t="n">
        <v>71.59999999999999</v>
      </c>
      <c r="J33" s="12" t="n">
        <v>32.6</v>
      </c>
      <c r="K33" s="12" t="n">
        <v>34.4</v>
      </c>
      <c r="L33" s="12" t="n">
        <v>43</v>
      </c>
      <c r="M33" s="12" t="n">
        <v>55.2</v>
      </c>
      <c r="N33" s="12" t="n">
        <v>45.6</v>
      </c>
      <c r="O33" s="12" t="n">
        <v>50.8</v>
      </c>
      <c r="P33" s="12" t="n">
        <v>43.4</v>
      </c>
      <c r="Q33" s="12" t="n">
        <v>42.5</v>
      </c>
      <c r="R33" s="12" t="n">
        <v>59.3</v>
      </c>
      <c r="S33" s="12" t="n">
        <v>40.4</v>
      </c>
      <c r="T33" s="12" t="n">
        <v>59.4</v>
      </c>
      <c r="U33" s="12" t="n">
        <v>61.8</v>
      </c>
      <c r="V33" s="12" t="n">
        <v>76.90000000000001</v>
      </c>
      <c r="W33" s="12" t="n">
        <v>55.9</v>
      </c>
      <c r="X33" s="12" t="n">
        <v>85.90000000000001</v>
      </c>
      <c r="Y33" s="12" t="n">
        <v>72.3</v>
      </c>
      <c r="Z33" s="2" t="n"/>
    </row>
    <row r="34">
      <c r="A34" s="2" t="inlineStr">
        <is>
          <t xml:space="preserve">  うち自動車部品 YoY %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61">
        <f>IFERROR(N33/B33-1,"")</f>
        <v/>
      </c>
      <c r="O34" s="61">
        <f>IFERROR(O33/C33-1,"")</f>
        <v/>
      </c>
      <c r="P34" s="61">
        <f>IFERROR(P33/D33-1,"")</f>
        <v/>
      </c>
      <c r="Q34" s="61">
        <f>IFERROR(Q33/E33-1,"")</f>
        <v/>
      </c>
      <c r="R34" s="61">
        <f>IFERROR(R33/F33-1,"")</f>
        <v/>
      </c>
      <c r="S34" s="61">
        <f>IFERROR(S33/G33-1,"")</f>
        <v/>
      </c>
      <c r="T34" s="61">
        <f>IFERROR(T33/H33-1,"")</f>
        <v/>
      </c>
      <c r="U34" s="61">
        <f>IFERROR(U33/I33-1,"")</f>
        <v/>
      </c>
      <c r="V34" s="61">
        <f>IFERROR(V33/J33-1,"")</f>
        <v/>
      </c>
      <c r="W34" s="61">
        <f>IFERROR(W33/K33-1,"")</f>
        <v/>
      </c>
      <c r="X34" s="61">
        <f>IFERROR(X33/L33-1,"")</f>
        <v/>
      </c>
      <c r="Y34" s="61">
        <f>IFERROR(Y33/M33-1,"")</f>
        <v/>
      </c>
      <c r="Z34" s="61">
        <f>IFERROR(Z33/N33-1,"")</f>
        <v/>
      </c>
    </row>
    <row r="35">
      <c r="A35" s="8" t="inlineStr">
        <is>
          <t>JMTBA 電気・精密 計 (億)</t>
        </is>
      </c>
      <c r="B35" s="12" t="n">
        <v>26.1</v>
      </c>
      <c r="C35" s="12" t="n">
        <v>59.6</v>
      </c>
      <c r="D35" s="12" t="n">
        <v>42</v>
      </c>
      <c r="E35" s="12" t="n">
        <v>40.6</v>
      </c>
      <c r="F35" s="12" t="n">
        <v>48.5</v>
      </c>
      <c r="G35" s="12" t="n">
        <v>43.3</v>
      </c>
      <c r="H35" s="12" t="n">
        <v>32.4</v>
      </c>
      <c r="I35" s="12" t="n">
        <v>53.4</v>
      </c>
      <c r="J35" s="12" t="n">
        <v>48.3</v>
      </c>
      <c r="K35" s="12" t="n">
        <v>48.2</v>
      </c>
      <c r="L35" s="12" t="n">
        <v>58.6</v>
      </c>
      <c r="M35" s="12" t="n">
        <v>40.3</v>
      </c>
      <c r="N35" s="12" t="n">
        <v>33.3</v>
      </c>
      <c r="O35" s="12" t="n">
        <v>53.7</v>
      </c>
      <c r="P35" s="12" t="n">
        <v>39.6</v>
      </c>
      <c r="Q35" s="12" t="n">
        <v>34.9</v>
      </c>
      <c r="R35" s="12" t="n">
        <v>39.2</v>
      </c>
      <c r="S35" s="12" t="n">
        <v>52.2</v>
      </c>
      <c r="T35" s="12" t="n">
        <v>57.7</v>
      </c>
      <c r="U35" s="12" t="n">
        <v>73.8</v>
      </c>
      <c r="V35" s="12" t="n">
        <v>78</v>
      </c>
      <c r="W35" s="12" t="n">
        <v>51.3</v>
      </c>
      <c r="X35" s="12" t="n">
        <v>97.3</v>
      </c>
      <c r="Y35" s="12" t="n">
        <v>82.2</v>
      </c>
      <c r="Z35" s="2" t="n"/>
    </row>
    <row r="36">
      <c r="A36" s="2" t="inlineStr">
        <is>
          <t xml:space="preserve">  電気・精密 計 YoY %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61">
        <f>IFERROR(N35/B35-1,"")</f>
        <v/>
      </c>
      <c r="O36" s="61">
        <f>IFERROR(O35/C35-1,"")</f>
        <v/>
      </c>
      <c r="P36" s="61">
        <f>IFERROR(P35/D35-1,"")</f>
        <v/>
      </c>
      <c r="Q36" s="61">
        <f>IFERROR(Q35/E35-1,"")</f>
        <v/>
      </c>
      <c r="R36" s="61">
        <f>IFERROR(R35/F35-1,"")</f>
        <v/>
      </c>
      <c r="S36" s="61">
        <f>IFERROR(S35/G35-1,"")</f>
        <v/>
      </c>
      <c r="T36" s="61">
        <f>IFERROR(T35/H35-1,"")</f>
        <v/>
      </c>
      <c r="U36" s="61">
        <f>IFERROR(U35/I35-1,"")</f>
        <v/>
      </c>
      <c r="V36" s="61">
        <f>IFERROR(V35/J35-1,"")</f>
        <v/>
      </c>
      <c r="W36" s="61">
        <f>IFERROR(W35/K35-1,"")</f>
        <v/>
      </c>
      <c r="X36" s="61">
        <f>IFERROR(X35/L35-1,"")</f>
        <v/>
      </c>
      <c r="Y36" s="61">
        <f>IFERROR(Y35/M35-1,"")</f>
        <v/>
      </c>
      <c r="Z36" s="61">
        <f>IFERROR(Z35/N35-1,"")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8" t="inlineStr">
        <is>
          <t>MOF Robot Exp HS 8479 (億)</t>
        </is>
      </c>
      <c r="B38" s="12" t="n">
        <v>819.7</v>
      </c>
      <c r="C38" s="12" t="n">
        <v>831.6</v>
      </c>
      <c r="D38" s="12" t="n">
        <v>852.8</v>
      </c>
      <c r="E38" s="12" t="n">
        <v>781.9</v>
      </c>
      <c r="F38" s="12" t="n">
        <v>988.7</v>
      </c>
      <c r="G38" s="12" t="n">
        <v>666.6</v>
      </c>
      <c r="H38" s="12" t="n">
        <v>877</v>
      </c>
      <c r="I38" s="12" t="n">
        <v>969.1</v>
      </c>
      <c r="J38" s="12" t="n">
        <v>824.4</v>
      </c>
      <c r="K38" s="12" t="n">
        <v>874.8</v>
      </c>
      <c r="L38" s="12" t="n">
        <v>893.6</v>
      </c>
      <c r="M38" s="12" t="n">
        <v>975.8</v>
      </c>
      <c r="N38" s="12" t="n">
        <v>803.5</v>
      </c>
      <c r="O38" s="12" t="n">
        <v>843.7</v>
      </c>
      <c r="P38" s="12" t="n">
        <v>959.1</v>
      </c>
      <c r="Q38" s="12" t="n">
        <v>898.4</v>
      </c>
      <c r="R38" s="12" t="n">
        <v>1061.1</v>
      </c>
      <c r="S38" s="12" t="n">
        <v>849.7</v>
      </c>
      <c r="T38" s="12" t="n">
        <v>849.4</v>
      </c>
      <c r="U38" s="12" t="n">
        <v>1089.9</v>
      </c>
      <c r="V38" s="12" t="n">
        <v>1055.3</v>
      </c>
      <c r="W38" s="12" t="n">
        <v>983.6</v>
      </c>
      <c r="X38" s="12" t="n">
        <v>1015.5</v>
      </c>
      <c r="Y38" s="12" t="n">
        <v>1160.1</v>
      </c>
      <c r="Z38" s="2" t="n"/>
    </row>
    <row r="39">
      <c r="A39" s="2" t="inlineStr">
        <is>
          <t xml:space="preserve">  MOF Robot Exp HS 8479 YoY %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61">
        <f>IFERROR(N38/B38-1,"")</f>
        <v/>
      </c>
      <c r="O39" s="61">
        <f>IFERROR(O38/C38-1,"")</f>
        <v/>
      </c>
      <c r="P39" s="61">
        <f>IFERROR(P38/D38-1,"")</f>
        <v/>
      </c>
      <c r="Q39" s="61">
        <f>IFERROR(Q38/E38-1,"")</f>
        <v/>
      </c>
      <c r="R39" s="61">
        <f>IFERROR(R38/F38-1,"")</f>
        <v/>
      </c>
      <c r="S39" s="61">
        <f>IFERROR(S38/G38-1,"")</f>
        <v/>
      </c>
      <c r="T39" s="61">
        <f>IFERROR(T38/H38-1,"")</f>
        <v/>
      </c>
      <c r="U39" s="61">
        <f>IFERROR(U38/I38-1,"")</f>
        <v/>
      </c>
      <c r="V39" s="61">
        <f>IFERROR(V38/J38-1,"")</f>
        <v/>
      </c>
      <c r="W39" s="61">
        <f>IFERROR(W38/K38-1,"")</f>
        <v/>
      </c>
      <c r="X39" s="61">
        <f>IFERROR(X38/L38-1,"")</f>
        <v/>
      </c>
      <c r="Y39" s="61">
        <f>IFERROR(Y38/M38-1,"")</f>
        <v/>
      </c>
      <c r="Z39" s="61">
        <f>IFERROR(Z38/N38-1,"")</f>
        <v/>
      </c>
    </row>
    <row r="40">
      <c r="A40" s="8" t="inlineStr">
        <is>
          <t>MOF Semi-Eq Exp HS 8486 (億)</t>
        </is>
      </c>
      <c r="B40" s="12" t="n">
        <v>3429.3</v>
      </c>
      <c r="C40" s="12" t="n">
        <v>3970.3</v>
      </c>
      <c r="D40" s="12" t="n">
        <v>4076</v>
      </c>
      <c r="E40" s="12" t="n">
        <v>3743.4</v>
      </c>
      <c r="F40" s="12" t="n">
        <v>4502.6</v>
      </c>
      <c r="G40" s="12" t="n">
        <v>2879</v>
      </c>
      <c r="H40" s="12" t="n">
        <v>3962.5</v>
      </c>
      <c r="I40" s="12" t="n">
        <v>4984.1</v>
      </c>
      <c r="J40" s="12" t="n">
        <v>3735.3</v>
      </c>
      <c r="K40" s="12" t="n">
        <v>3319.8</v>
      </c>
      <c r="L40" s="12" t="n">
        <v>3877.8</v>
      </c>
      <c r="M40" s="12" t="n">
        <v>3509.4</v>
      </c>
      <c r="N40" s="12" t="n">
        <v>3494.9</v>
      </c>
      <c r="O40" s="12" t="n">
        <v>3844</v>
      </c>
      <c r="P40" s="12" t="n">
        <v>3635.4</v>
      </c>
      <c r="Q40" s="12" t="n">
        <v>3792.2</v>
      </c>
      <c r="R40" s="12" t="n">
        <v>4436.8</v>
      </c>
      <c r="S40" s="12" t="n">
        <v>3156.7</v>
      </c>
      <c r="T40" s="12" t="n">
        <v>3290.9</v>
      </c>
      <c r="U40" s="12" t="n">
        <v>5259</v>
      </c>
      <c r="V40" s="12" t="n">
        <v>3932.1</v>
      </c>
      <c r="W40" s="12" t="n">
        <v>3654.5</v>
      </c>
      <c r="X40" s="12" t="n">
        <v>4601.4</v>
      </c>
      <c r="Y40" s="12" t="n">
        <v>4939.5</v>
      </c>
      <c r="Z40" s="2" t="n"/>
    </row>
    <row r="41">
      <c r="A41" s="2" t="inlineStr">
        <is>
          <t xml:space="preserve">  MOF Semi-Eq Exp HS 8486 YoY %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61">
        <f>IFERROR(N40/B40-1,"")</f>
        <v/>
      </c>
      <c r="O41" s="61">
        <f>IFERROR(O40/C40-1,"")</f>
        <v/>
      </c>
      <c r="P41" s="61">
        <f>IFERROR(P40/D40-1,"")</f>
        <v/>
      </c>
      <c r="Q41" s="61">
        <f>IFERROR(Q40/E40-1,"")</f>
        <v/>
      </c>
      <c r="R41" s="61">
        <f>IFERROR(R40/F40-1,"")</f>
        <v/>
      </c>
      <c r="S41" s="61">
        <f>IFERROR(S40/G40-1,"")</f>
        <v/>
      </c>
      <c r="T41" s="61">
        <f>IFERROR(T40/H40-1,"")</f>
        <v/>
      </c>
      <c r="U41" s="61">
        <f>IFERROR(U40/I40-1,"")</f>
        <v/>
      </c>
      <c r="V41" s="61">
        <f>IFERROR(V40/J40-1,"")</f>
        <v/>
      </c>
      <c r="W41" s="61">
        <f>IFERROR(W40/K40-1,"")</f>
        <v/>
      </c>
      <c r="X41" s="61">
        <f>IFERROR(X40/L40-1,"")</f>
        <v/>
      </c>
      <c r="Y41" s="61">
        <f>IFERROR(Y40/M40-1,"")</f>
        <v/>
      </c>
      <c r="Z41" s="61">
        <f>IFERROR(Z40/N40-1,"")</f>
        <v/>
      </c>
    </row>
    <row r="42">
      <c r="A42" s="8" t="inlineStr">
        <is>
          <t>MOF CNC Tool Exp HS 8459 (億)</t>
        </is>
      </c>
      <c r="B42" s="12" t="n">
        <v>12.3</v>
      </c>
      <c r="C42" s="12" t="n">
        <v>13.4</v>
      </c>
      <c r="D42" s="12" t="n">
        <v>7.1</v>
      </c>
      <c r="E42" s="12" t="n">
        <v>15.9</v>
      </c>
      <c r="F42" s="12" t="n">
        <v>15.3</v>
      </c>
      <c r="G42" s="12" t="n">
        <v>8.800000000000001</v>
      </c>
      <c r="H42" s="12" t="n">
        <v>18.3</v>
      </c>
      <c r="I42" s="12" t="n">
        <v>13.6</v>
      </c>
      <c r="J42" s="12" t="n">
        <v>9.9</v>
      </c>
      <c r="K42" s="12" t="n">
        <v>5.1</v>
      </c>
      <c r="L42" s="12" t="n">
        <v>11.3</v>
      </c>
      <c r="M42" s="12" t="n">
        <v>20.8</v>
      </c>
      <c r="N42" s="12" t="n">
        <v>10.4</v>
      </c>
      <c r="O42" s="12" t="n">
        <v>11.6</v>
      </c>
      <c r="P42" s="12" t="n">
        <v>7.2</v>
      </c>
      <c r="Q42" s="12" t="n">
        <v>4.6</v>
      </c>
      <c r="R42" s="12" t="n">
        <v>14.1</v>
      </c>
      <c r="S42" s="12" t="n">
        <v>5.5</v>
      </c>
      <c r="T42" s="12" t="n">
        <v>8.9</v>
      </c>
      <c r="U42" s="12" t="n">
        <v>11.4</v>
      </c>
      <c r="V42" s="12" t="n">
        <v>13.3</v>
      </c>
      <c r="W42" s="12" t="n">
        <v>9.699999999999999</v>
      </c>
      <c r="X42" s="12" t="n">
        <v>9.5</v>
      </c>
      <c r="Y42" s="12" t="n">
        <v>7.2</v>
      </c>
      <c r="Z42" s="2" t="n"/>
    </row>
    <row r="43">
      <c r="A43" s="2" t="inlineStr">
        <is>
          <t xml:space="preserve">  MOF CNC Tool Exp HS 8459 YoY %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61">
        <f>IFERROR(N42/B42-1,"")</f>
        <v/>
      </c>
      <c r="O43" s="61">
        <f>IFERROR(O42/C42-1,"")</f>
        <v/>
      </c>
      <c r="P43" s="61">
        <f>IFERROR(P42/D42-1,"")</f>
        <v/>
      </c>
      <c r="Q43" s="61">
        <f>IFERROR(Q42/E42-1,"")</f>
        <v/>
      </c>
      <c r="R43" s="61">
        <f>IFERROR(R42/F42-1,"")</f>
        <v/>
      </c>
      <c r="S43" s="61">
        <f>IFERROR(S42/G42-1,"")</f>
        <v/>
      </c>
      <c r="T43" s="61">
        <f>IFERROR(T42/H42-1,"")</f>
        <v/>
      </c>
      <c r="U43" s="61">
        <f>IFERROR(U42/I42-1,"")</f>
        <v/>
      </c>
      <c r="V43" s="61">
        <f>IFERROR(V42/J42-1,"")</f>
        <v/>
      </c>
      <c r="W43" s="61">
        <f>IFERROR(W42/K42-1,"")</f>
        <v/>
      </c>
      <c r="X43" s="61">
        <f>IFERROR(X42/L42-1,"")</f>
        <v/>
      </c>
      <c r="Y43" s="61">
        <f>IFERROR(Y42/M42-1,"")</f>
        <v/>
      </c>
      <c r="Z43" s="61">
        <f>IFERROR(Z42/N42-1,"")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9" customWidth="1" min="4" max="4"/>
    <col width="11" customWidth="1" min="5" max="5"/>
    <col width="9" customWidth="1" min="6" max="6"/>
    <col width="8" customWidth="1" min="7" max="7"/>
    <col width="8" customWidth="1" min="8" max="8"/>
    <col width="10" customWidth="1" min="9" max="9"/>
    <col width="10" customWidth="1" min="10" max="10"/>
    <col width="15" customWidth="1" min="11" max="11"/>
    <col width="8" customWidth="1" min="12" max="12"/>
    <col width="8" customWidth="1" min="13" max="13"/>
    <col width="9" customWidth="1" min="14" max="14"/>
    <col width="11" customWidth="1" min="15" max="15"/>
  </cols>
  <sheetData>
    <row r="1">
      <c r="A1" s="60" t="inlineStr">
        <is>
          <t>Peer Comparables for Meidensha (65080) — common multiples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Source: J-Quants daily_bars × fins_summary FY (split-adjusted BPS). P/E(fwd) = Nikkei QUICK consensus for the CURRENT FY — near a company's FY-end that is nearly trailing.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5" t="inlineStr">
        <is>
          <t>Code</t>
        </is>
      </c>
      <c r="B4" s="5" t="inlineStr">
        <is>
          <t>Name</t>
        </is>
      </c>
      <c r="C4" s="5" t="inlineStr">
        <is>
          <t>Period</t>
        </is>
      </c>
      <c r="D4" s="5" t="inlineStr">
        <is>
          <t>Price</t>
        </is>
      </c>
      <c r="E4" s="5" t="inlineStr">
        <is>
          <t>MCap (億)</t>
        </is>
      </c>
      <c r="F4" s="5" t="inlineStr">
        <is>
          <t>Sales</t>
        </is>
      </c>
      <c r="G4" s="5" t="inlineStr">
        <is>
          <t>OP</t>
        </is>
      </c>
      <c r="H4" s="5" t="inlineStr">
        <is>
          <t>NP</t>
        </is>
      </c>
      <c r="I4" s="5" t="inlineStr">
        <is>
          <t>EPS</t>
        </is>
      </c>
      <c r="J4" s="5" t="inlineStr">
        <is>
          <t>BPS</t>
        </is>
      </c>
      <c r="K4" s="5" t="inlineStr">
        <is>
          <t>P/E (fwd)</t>
        </is>
      </c>
      <c r="L4" s="5" t="inlineStr">
        <is>
          <t>P/B</t>
        </is>
      </c>
      <c r="M4" s="5" t="inlineStr">
        <is>
          <t>OPM %</t>
        </is>
      </c>
      <c r="N4" s="5" t="inlineStr">
        <is>
          <t>ROE %</t>
        </is>
      </c>
      <c r="O4" s="5" t="inlineStr">
        <is>
          <t>Sales YoY %</t>
        </is>
      </c>
    </row>
    <row r="5">
      <c r="A5" s="62" t="inlineStr">
        <is>
          <t>65080</t>
        </is>
      </c>
      <c r="B5" s="62" t="inlineStr">
        <is>
          <t>明電舎</t>
        </is>
      </c>
      <c r="C5" s="62" t="inlineStr">
        <is>
          <t>Consensus 2027/3連予 (n=5)</t>
        </is>
      </c>
      <c r="D5" s="96" t="n">
        <v>10540</v>
      </c>
      <c r="E5" s="96" t="n">
        <v>4781</v>
      </c>
      <c r="F5" s="96" t="n">
        <v>3661</v>
      </c>
      <c r="G5" s="96" t="n">
        <v>360</v>
      </c>
      <c r="H5" s="96" t="n">
        <v>274</v>
      </c>
      <c r="I5" s="97" t="n">
        <v>604.55</v>
      </c>
      <c r="J5" s="97" t="n">
        <v>3855.2</v>
      </c>
      <c r="K5" s="98" t="n">
        <v>17.4</v>
      </c>
      <c r="L5" s="98" t="n">
        <v>2.73</v>
      </c>
      <c r="M5" s="99" t="n">
        <v>9.800000000000001</v>
      </c>
      <c r="N5" s="99" t="n">
        <v>15.4</v>
      </c>
      <c r="O5" s="99" t="n">
        <v>12.2</v>
      </c>
    </row>
    <row r="6">
      <c r="A6" s="2" t="inlineStr">
        <is>
          <t>65010</t>
        </is>
      </c>
      <c r="B6" s="2" t="inlineStr">
        <is>
          <t>日立製作所</t>
        </is>
      </c>
      <c r="C6" s="2" t="inlineStr">
        <is>
          <t>Consensus 2027/3連I予 (n=15)</t>
        </is>
      </c>
      <c r="D6" s="100" t="n">
        <v>5372</v>
      </c>
      <c r="E6" s="100" t="n">
        <v>243852</v>
      </c>
      <c r="F6" s="100" t="n">
        <v>118106</v>
      </c>
      <c r="G6" s="100" t="n">
        <v>14695</v>
      </c>
      <c r="H6" s="100" t="n">
        <v>9472</v>
      </c>
      <c r="I6" s="101" t="n">
        <v>212.81</v>
      </c>
      <c r="J6" s="101" t="n">
        <v>1459.7</v>
      </c>
      <c r="K6" s="102" t="n">
        <v>25.2</v>
      </c>
      <c r="L6" s="102" t="n">
        <v>3.68</v>
      </c>
      <c r="M6" s="103" t="n">
        <v>12.4</v>
      </c>
      <c r="N6" s="103" t="n">
        <v>14</v>
      </c>
      <c r="O6" s="103" t="n">
        <v>11.6</v>
      </c>
    </row>
    <row r="7">
      <c r="A7" s="2" t="inlineStr">
        <is>
          <t>65030</t>
        </is>
      </c>
      <c r="B7" s="2" t="inlineStr">
        <is>
          <t>三菱電機</t>
        </is>
      </c>
      <c r="C7" s="2" t="inlineStr">
        <is>
          <t>Consensus 2027/3連I予 (n=16)</t>
        </is>
      </c>
      <c r="D7" s="100" t="n">
        <v>5160</v>
      </c>
      <c r="E7" s="100" t="n">
        <v>106098</v>
      </c>
      <c r="F7" s="100" t="n">
        <v>63896</v>
      </c>
      <c r="G7" s="100" t="n">
        <v>6732</v>
      </c>
      <c r="H7" s="100" t="n">
        <v>5354</v>
      </c>
      <c r="I7" s="101" t="n">
        <v>261.55</v>
      </c>
      <c r="J7" s="101" t="n">
        <v>2191.3</v>
      </c>
      <c r="K7" s="102" t="n">
        <v>19.7</v>
      </c>
      <c r="L7" s="102" t="n">
        <v>2.35</v>
      </c>
      <c r="M7" s="103" t="n">
        <v>10.5</v>
      </c>
      <c r="N7" s="103" t="n">
        <v>11.6</v>
      </c>
      <c r="O7" s="103" t="n">
        <v>8.4</v>
      </c>
    </row>
    <row r="8">
      <c r="A8" s="2" t="inlineStr">
        <is>
          <t>65040</t>
        </is>
      </c>
      <c r="B8" s="2" t="inlineStr">
        <is>
          <t>富士電機</t>
        </is>
      </c>
      <c r="C8" s="2" t="inlineStr">
        <is>
          <t>Consensus 2027/3連予 (n=9)</t>
        </is>
      </c>
      <c r="D8" s="100" t="n">
        <v>12815</v>
      </c>
      <c r="E8" s="100" t="n">
        <v>18886</v>
      </c>
      <c r="F8" s="100" t="n">
        <v>13173</v>
      </c>
      <c r="G8" s="100" t="n">
        <v>1592</v>
      </c>
      <c r="H8" s="100" t="n">
        <v>1159</v>
      </c>
      <c r="I8" s="101" t="n">
        <v>793.84</v>
      </c>
      <c r="J8" s="101" t="n">
        <v>5428.6</v>
      </c>
      <c r="K8" s="102" t="n">
        <v>16.1</v>
      </c>
      <c r="L8" s="102" t="n">
        <v>2.36</v>
      </c>
      <c r="M8" s="103" t="n">
        <v>12.1</v>
      </c>
      <c r="N8" s="103" t="n">
        <v>13.7</v>
      </c>
      <c r="O8" s="103" t="n">
        <v>7.3</v>
      </c>
    </row>
    <row r="9">
      <c r="A9" s="2" t="inlineStr">
        <is>
          <t>66220</t>
        </is>
      </c>
      <c r="B9" s="2" t="inlineStr">
        <is>
          <t>ダイヘン</t>
        </is>
      </c>
      <c r="C9" s="2" t="inlineStr">
        <is>
          <t>Consensus 2027/3連予 (n=6)</t>
        </is>
      </c>
      <c r="D9" s="100" t="n">
        <v>12350</v>
      </c>
      <c r="E9" s="100" t="n">
        <v>2947</v>
      </c>
      <c r="F9" s="100" t="n">
        <v>2848</v>
      </c>
      <c r="G9" s="100" t="n">
        <v>269</v>
      </c>
      <c r="H9" s="100" t="n">
        <v>185</v>
      </c>
      <c r="I9" s="101" t="n">
        <v>783.86</v>
      </c>
      <c r="J9" s="101" t="n">
        <v>6524.8</v>
      </c>
      <c r="K9" s="102" t="n">
        <v>15.8</v>
      </c>
      <c r="L9" s="102" t="n">
        <v>1.89</v>
      </c>
      <c r="M9" s="103" t="n">
        <v>9.4</v>
      </c>
      <c r="N9" s="103" t="n">
        <v>10.8</v>
      </c>
      <c r="O9" s="103" t="n">
        <v>19.8</v>
      </c>
    </row>
    <row r="10">
      <c r="A10" s="2" t="inlineStr">
        <is>
          <t>58050</t>
        </is>
      </c>
      <c r="B10" s="2" t="inlineStr">
        <is>
          <t>ＳＷＣＣ</t>
        </is>
      </c>
      <c r="C10" s="2" t="inlineStr">
        <is>
          <t>Consensus 2027/3連予 (n=6)</t>
        </is>
      </c>
      <c r="D10" s="100" t="n">
        <v>13010</v>
      </c>
      <c r="E10" s="100" t="n">
        <v>3851</v>
      </c>
      <c r="F10" s="100" t="n">
        <v>3350</v>
      </c>
      <c r="G10" s="100" t="n">
        <v>351</v>
      </c>
      <c r="H10" s="100" t="n">
        <v>234</v>
      </c>
      <c r="I10" s="101" t="n">
        <v>789.98</v>
      </c>
      <c r="J10" s="101" t="n">
        <v>3322.3</v>
      </c>
      <c r="K10" s="102" t="n">
        <v>16.5</v>
      </c>
      <c r="L10" s="102" t="n">
        <v>3.92</v>
      </c>
      <c r="M10" s="103" t="n">
        <v>10.5</v>
      </c>
      <c r="N10" s="103" t="n">
        <v>22.1</v>
      </c>
      <c r="O10" s="103" t="n">
        <v>20.6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8" t="inlineStr">
        <is>
          <t>MEDIAN (peers)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104" t="n">
        <v>16.5</v>
      </c>
      <c r="L12" s="104" t="n">
        <v>2.36</v>
      </c>
      <c r="M12" s="69" t="n">
        <v>10.5</v>
      </c>
      <c r="N12" s="69" t="n">
        <v>13.7</v>
      </c>
      <c r="O12" s="69" t="n">
        <v>11.6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4" customWidth="1" min="3" max="3"/>
    <col width="14" customWidth="1" min="4" max="4"/>
    <col width="12" customWidth="1" min="5" max="5"/>
  </cols>
  <sheetData>
    <row r="1">
      <c r="A1" s="60" t="inlineStr">
        <is>
          <t>Meidensha (65080) — Model Summary  [BLUE=input, BLACK=formula, GREEN=cross-sheet, YELLOW=key tunable]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1" t="inlineStr">
        <is>
          <t>Metric</t>
        </is>
      </c>
      <c r="B3" s="11" t="inlineStr">
        <is>
          <t>Hist FY25</t>
        </is>
      </c>
      <c r="C3" s="11" t="inlineStr">
        <is>
          <t>Model FY26E</t>
        </is>
      </c>
      <c r="D3" s="11" t="inlineStr">
        <is>
          <t>Model FY27E</t>
        </is>
      </c>
      <c r="E3" s="11" t="inlineStr">
        <is>
          <t>Company Guide</t>
        </is>
      </c>
      <c r="F3" s="11" t="inlineStr">
        <is>
          <t>vs Guide %</t>
        </is>
      </c>
    </row>
    <row r="4">
      <c r="A4" s="8" t="inlineStr">
        <is>
          <t>Sales (億)</t>
        </is>
      </c>
      <c r="B4" s="70">
        <f>FS!F4+FS!G4+FS!H4+FS!I4</f>
        <v/>
      </c>
      <c r="C4" s="70">
        <f>FS!J4+FS!K4+FS!L4+FS!M4</f>
        <v/>
      </c>
      <c r="D4" s="70">
        <f>FS!N4+FS!O4+FS!P4+FS!Q4</f>
        <v/>
      </c>
      <c r="E4" s="2" t="n"/>
      <c r="F4" s="2" t="n"/>
    </row>
    <row r="5">
      <c r="A5" s="8" t="inlineStr">
        <is>
          <t>OP (億)</t>
        </is>
      </c>
      <c r="B5" s="70">
        <f>FS!F9+FS!G9+FS!H9+FS!I9</f>
        <v/>
      </c>
      <c r="C5" s="70">
        <f>FS!J9+FS!K9+FS!L9+FS!M9</f>
        <v/>
      </c>
      <c r="D5" s="70">
        <f>FS!N9+FS!O9+FS!P9+FS!Q9</f>
        <v/>
      </c>
      <c r="E5" s="2" t="n"/>
      <c r="F5" s="2" t="n"/>
    </row>
    <row r="6">
      <c r="A6" s="8" t="inlineStr">
        <is>
          <t>OPM %</t>
        </is>
      </c>
      <c r="B6" s="21">
        <f>B5/B4*100</f>
        <v/>
      </c>
      <c r="C6" s="21">
        <f>C5/C4*100</f>
        <v/>
      </c>
      <c r="D6" s="21">
        <f>D5/D4*100</f>
        <v/>
      </c>
      <c r="E6" s="2" t="n"/>
      <c r="F6" s="2" t="n"/>
    </row>
    <row r="7">
      <c r="A7" s="8" t="inlineStr">
        <is>
          <t>NP (億)</t>
        </is>
      </c>
      <c r="B7" s="70">
        <f>FS!F18+FS!G18+FS!H18+FS!I18</f>
        <v/>
      </c>
      <c r="C7" s="70">
        <f>FS!J18+FS!K18+FS!L18+FS!M18</f>
        <v/>
      </c>
      <c r="D7" s="70">
        <f>FS!N18+FS!O18+FS!P18+FS!Q18</f>
        <v/>
      </c>
      <c r="E7" s="2" t="n"/>
      <c r="F7" s="2" t="n"/>
    </row>
    <row r="8">
      <c r="A8" s="8" t="inlineStr">
        <is>
          <t>EPS (¥)</t>
        </is>
      </c>
      <c r="B8" s="54">
        <f>FS!F22+FS!G22+FS!H22+FS!I22</f>
        <v/>
      </c>
      <c r="C8" s="54">
        <f>FS!J22+FS!K22+FS!L22+FS!M22</f>
        <v/>
      </c>
      <c r="D8" s="54">
        <f>FS!N22+FS!O22+FS!P22+FS!Q22</f>
        <v/>
      </c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34" t="inlineStr">
        <is>
          <t>Daily Snapshot  ─ overwritten by modeling.daily_refresh after EOD</t>
        </is>
      </c>
      <c r="B12" s="2" t="n"/>
      <c r="C12" s="2" t="n"/>
      <c r="D12" s="2" t="n"/>
      <c r="E12" s="2" t="n"/>
      <c r="F12" s="2" t="n"/>
    </row>
    <row r="13">
      <c r="A13" s="2" t="inlineStr">
        <is>
          <t>Current Price (¥)</t>
        </is>
      </c>
      <c r="B13" s="105" t="n">
        <v>10540</v>
      </c>
      <c r="C13" s="40" t="inlineStr">
        <is>
          <t>from daily_bars latest close</t>
        </is>
      </c>
      <c r="D13" s="2" t="n"/>
      <c r="E13" s="2" t="n"/>
      <c r="F13" s="2" t="n"/>
    </row>
    <row r="14">
      <c r="A14" s="2" t="inlineStr">
        <is>
          <t>DCF base (¥)</t>
        </is>
      </c>
      <c r="B14" s="105" t="n">
        <v>3051</v>
      </c>
      <c r="C14" s="40" t="inlineStr">
        <is>
          <t>target_prices.db base scenario</t>
        </is>
      </c>
      <c r="D14" s="2" t="n"/>
      <c r="E14" s="2" t="n"/>
      <c r="F14" s="2" t="n"/>
    </row>
    <row r="15">
      <c r="A15" s="2" t="inlineStr">
        <is>
          <t>DCF bull (¥)</t>
        </is>
      </c>
      <c r="B15" s="105" t="n">
        <v>4055</v>
      </c>
      <c r="C15" s="40" t="inlineStr">
        <is>
          <t>target_prices.db bull scenario</t>
        </is>
      </c>
      <c r="D15" s="2" t="n"/>
      <c r="E15" s="2" t="n"/>
      <c r="F15" s="2" t="n"/>
    </row>
    <row r="16">
      <c r="A16" s="2" t="inlineStr">
        <is>
          <t>DCF bear (¥)</t>
        </is>
      </c>
      <c r="B16" s="105" t="n">
        <v>2047</v>
      </c>
      <c r="C16" s="40" t="inlineStr">
        <is>
          <t>target_prices.db bear scenario</t>
        </is>
      </c>
      <c r="D16" s="2" t="n"/>
      <c r="E16" s="2" t="n"/>
      <c r="F16" s="2" t="n"/>
    </row>
    <row r="17">
      <c r="A17" s="2" t="inlineStr">
        <is>
          <t>Composite verdict</t>
        </is>
      </c>
      <c r="B17" s="106" t="inlineStr">
        <is>
          <t>Rich</t>
        </is>
      </c>
      <c r="C17" s="40" t="inlineStr">
        <is>
          <t>Cheap / Fair / Rich vs current</t>
        </is>
      </c>
      <c r="D17" s="2" t="n"/>
      <c r="E17" s="2" t="n"/>
      <c r="F17" s="2" t="n"/>
    </row>
    <row r="18">
      <c r="A18" s="2" t="inlineStr">
        <is>
          <t>Peer median P/E (x)</t>
        </is>
      </c>
      <c r="B18" s="107" t="n">
        <v>16.5</v>
      </c>
      <c r="C18" s="40" t="inlineStr">
        <is>
          <t>Comp sheet median</t>
        </is>
      </c>
      <c r="D18" s="2" t="n"/>
      <c r="E18" s="2" t="n"/>
      <c r="F18" s="2" t="n"/>
    </row>
    <row r="19">
      <c r="A19" s="2" t="inlineStr">
        <is>
          <t>Last refresh date</t>
        </is>
      </c>
      <c r="B19" s="108" t="inlineStr">
        <is>
          <t>2026-09-17</t>
        </is>
      </c>
      <c r="C19" s="40" t="inlineStr"/>
      <c r="D19" s="2" t="n"/>
      <c r="E19" s="2" t="n"/>
      <c r="F1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60" t="inlineStr">
        <is>
          <t>Meidensha — Debt Schedule + Credit Metrics. Auto-rendered when fins_details has interest-bearing debt.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8" t="inlineStr">
        <is>
          <t>FY24Q1</t>
        </is>
      </c>
      <c r="C2" s="8" t="inlineStr">
        <is>
          <t>FY24Q2</t>
        </is>
      </c>
      <c r="D2" s="8" t="inlineStr">
        <is>
          <t>FY24Q3</t>
        </is>
      </c>
      <c r="E2" s="8" t="inlineStr">
        <is>
          <t>FY24Q4</t>
        </is>
      </c>
      <c r="F2" s="8" t="inlineStr">
        <is>
          <t>FY25Q1</t>
        </is>
      </c>
      <c r="G2" s="8" t="inlineStr">
        <is>
          <t>FY25Q2</t>
        </is>
      </c>
      <c r="H2" s="8" t="inlineStr">
        <is>
          <t>FY25Q3</t>
        </is>
      </c>
      <c r="I2" s="8" t="inlineStr">
        <is>
          <t>FY25Q4</t>
        </is>
      </c>
      <c r="J2" s="8" t="inlineStr">
        <is>
          <t>FY26Q1</t>
        </is>
      </c>
      <c r="K2" s="8" t="inlineStr">
        <is>
          <t>FY26Q2</t>
        </is>
      </c>
      <c r="L2" s="8" t="inlineStr">
        <is>
          <t>FY26Q3</t>
        </is>
      </c>
      <c r="M2" s="8" t="inlineStr">
        <is>
          <t>FY26Q4</t>
        </is>
      </c>
      <c r="N2" s="8" t="inlineStr">
        <is>
          <t>FY27Q1</t>
        </is>
      </c>
      <c r="O2" s="8" t="inlineStr">
        <is>
          <t>FY27Q2</t>
        </is>
      </c>
      <c r="P2" s="8" t="inlineStr">
        <is>
          <t>FY27Q3</t>
        </is>
      </c>
      <c r="Q2" s="8" t="inlineStr">
        <is>
          <t>FY27Q4</t>
        </is>
      </c>
      <c r="R2" s="8" t="inlineStr">
        <is>
          <t>FY28Q1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8" t="inlineStr">
        <is>
          <t>Beginning of Period (BoP)</t>
        </is>
      </c>
      <c r="B4" s="39">
        <f>FS!B41</f>
        <v/>
      </c>
      <c r="C4" s="39">
        <f>FS!B41</f>
        <v/>
      </c>
      <c r="D4" s="39">
        <f>FS!C41</f>
        <v/>
      </c>
      <c r="E4" s="39">
        <f>FS!D41</f>
        <v/>
      </c>
      <c r="F4" s="39">
        <f>FS!E41</f>
        <v/>
      </c>
      <c r="G4" s="39">
        <f>FS!F41</f>
        <v/>
      </c>
      <c r="H4" s="39">
        <f>FS!G41</f>
        <v/>
      </c>
      <c r="I4" s="39">
        <f>FS!H41</f>
        <v/>
      </c>
      <c r="J4" s="39">
        <f>FS!I41</f>
        <v/>
      </c>
      <c r="K4" s="39">
        <f>FS!J41</f>
        <v/>
      </c>
      <c r="L4" s="39">
        <f>FS!K41</f>
        <v/>
      </c>
      <c r="M4" s="39">
        <f>FS!L41</f>
        <v/>
      </c>
      <c r="N4" s="39">
        <f>FS!M41</f>
        <v/>
      </c>
      <c r="O4" s="39">
        <f>FS!N41</f>
        <v/>
      </c>
      <c r="P4" s="39">
        <f>FS!O41</f>
        <v/>
      </c>
      <c r="Q4" s="39">
        <f>FS!P41</f>
        <v/>
      </c>
      <c r="R4" s="39">
        <f>FS!Q41</f>
        <v/>
      </c>
    </row>
    <row r="5">
      <c r="A5" s="2" t="inlineStr">
        <is>
          <t xml:space="preserve">  + Issuance (CF row 18 if positive)</t>
        </is>
      </c>
      <c r="B5" s="19">
        <f>MAX(0,B7-B4)</f>
        <v/>
      </c>
      <c r="C5" s="19">
        <f>MAX(0,C7-C4)</f>
        <v/>
      </c>
      <c r="D5" s="19">
        <f>MAX(0,D7-D4)</f>
        <v/>
      </c>
      <c r="E5" s="19">
        <f>MAX(0,E7-E4)</f>
        <v/>
      </c>
      <c r="F5" s="19">
        <f>MAX(0,F7-F4)</f>
        <v/>
      </c>
      <c r="G5" s="19">
        <f>MAX(0,G7-G4)</f>
        <v/>
      </c>
      <c r="H5" s="19">
        <f>MAX(0,H7-H4)</f>
        <v/>
      </c>
      <c r="I5" s="19">
        <f>MAX(0,I7-I4)</f>
        <v/>
      </c>
      <c r="J5" s="19">
        <f>MAX(0,J7-J4)</f>
        <v/>
      </c>
      <c r="K5" s="19">
        <f>MAX(0,K7-K4)</f>
        <v/>
      </c>
      <c r="L5" s="19">
        <f>MAX(0,L7-L4)</f>
        <v/>
      </c>
      <c r="M5" s="19">
        <f>MAX(0,M7-M4)</f>
        <v/>
      </c>
      <c r="N5" s="19">
        <f>MAX(0,N7-N4)</f>
        <v/>
      </c>
      <c r="O5" s="19">
        <f>MAX(0,O7-O4)</f>
        <v/>
      </c>
      <c r="P5" s="19">
        <f>MAX(0,P7-P4)</f>
        <v/>
      </c>
      <c r="Q5" s="19">
        <f>MAX(0,Q7-Q4)</f>
        <v/>
      </c>
      <c r="R5" s="19">
        <f>MAX(0,R7-R4)</f>
        <v/>
      </c>
    </row>
    <row r="6">
      <c r="A6" s="2" t="inlineStr">
        <is>
          <t xml:space="preserve">  − Repayment (CF row 18 if negative)</t>
        </is>
      </c>
      <c r="B6" s="19">
        <f>MAX(0,B4-B7)</f>
        <v/>
      </c>
      <c r="C6" s="19">
        <f>MAX(0,C4-C7)</f>
        <v/>
      </c>
      <c r="D6" s="19">
        <f>MAX(0,D4-D7)</f>
        <v/>
      </c>
      <c r="E6" s="19">
        <f>MAX(0,E4-E7)</f>
        <v/>
      </c>
      <c r="F6" s="19">
        <f>MAX(0,F4-F7)</f>
        <v/>
      </c>
      <c r="G6" s="19">
        <f>MAX(0,G4-G7)</f>
        <v/>
      </c>
      <c r="H6" s="19">
        <f>MAX(0,H4-H7)</f>
        <v/>
      </c>
      <c r="I6" s="19">
        <f>MAX(0,I4-I7)</f>
        <v/>
      </c>
      <c r="J6" s="19">
        <f>MAX(0,J4-J7)</f>
        <v/>
      </c>
      <c r="K6" s="19">
        <f>MAX(0,K4-K7)</f>
        <v/>
      </c>
      <c r="L6" s="19">
        <f>MAX(0,L4-L7)</f>
        <v/>
      </c>
      <c r="M6" s="19">
        <f>MAX(0,M4-M7)</f>
        <v/>
      </c>
      <c r="N6" s="19">
        <f>MAX(0,N4-N7)</f>
        <v/>
      </c>
      <c r="O6" s="19">
        <f>MAX(0,O4-O7)</f>
        <v/>
      </c>
      <c r="P6" s="19">
        <f>MAX(0,P4-P7)</f>
        <v/>
      </c>
      <c r="Q6" s="19">
        <f>MAX(0,Q4-Q7)</f>
        <v/>
      </c>
      <c r="R6" s="19">
        <f>MAX(0,R4-R7)</f>
        <v/>
      </c>
    </row>
    <row r="7">
      <c r="A7" s="8" t="inlineStr">
        <is>
          <t>End of Period (EoP) — links to BS row 15</t>
        </is>
      </c>
      <c r="B7" s="70">
        <f>FS!B41</f>
        <v/>
      </c>
      <c r="C7" s="70">
        <f>FS!C41</f>
        <v/>
      </c>
      <c r="D7" s="70">
        <f>FS!D41</f>
        <v/>
      </c>
      <c r="E7" s="70">
        <f>FS!E41</f>
        <v/>
      </c>
      <c r="F7" s="70">
        <f>FS!F41</f>
        <v/>
      </c>
      <c r="G7" s="70">
        <f>FS!G41</f>
        <v/>
      </c>
      <c r="H7" s="70">
        <f>FS!H41</f>
        <v/>
      </c>
      <c r="I7" s="70">
        <f>FS!I41</f>
        <v/>
      </c>
      <c r="J7" s="70">
        <f>FS!J41</f>
        <v/>
      </c>
      <c r="K7" s="70">
        <f>FS!K41</f>
        <v/>
      </c>
      <c r="L7" s="70">
        <f>FS!L41</f>
        <v/>
      </c>
      <c r="M7" s="70">
        <f>FS!M41</f>
        <v/>
      </c>
      <c r="N7" s="70">
        <f>FS!N41</f>
        <v/>
      </c>
      <c r="O7" s="70">
        <f>FS!O41</f>
        <v/>
      </c>
      <c r="P7" s="70">
        <f>FS!P41</f>
        <v/>
      </c>
      <c r="Q7" s="70">
        <f>FS!Q41</f>
        <v/>
      </c>
      <c r="R7" s="70">
        <f>FS!R41</f>
        <v/>
      </c>
    </row>
    <row r="8">
      <c r="A8" s="71" t="inlineStr">
        <is>
          <t>Avg balance (BoP+EoP)/2</t>
        </is>
      </c>
      <c r="B8" s="19">
        <f>(B4+B7)/2</f>
        <v/>
      </c>
      <c r="C8" s="19">
        <f>(C4+C7)/2</f>
        <v/>
      </c>
      <c r="D8" s="19">
        <f>(D4+D7)/2</f>
        <v/>
      </c>
      <c r="E8" s="19">
        <f>(E4+E7)/2</f>
        <v/>
      </c>
      <c r="F8" s="19">
        <f>(F4+F7)/2</f>
        <v/>
      </c>
      <c r="G8" s="19">
        <f>(G4+G7)/2</f>
        <v/>
      </c>
      <c r="H8" s="19">
        <f>(H4+H7)/2</f>
        <v/>
      </c>
      <c r="I8" s="19">
        <f>(I4+I7)/2</f>
        <v/>
      </c>
      <c r="J8" s="19">
        <f>(J4+J7)/2</f>
        <v/>
      </c>
      <c r="K8" s="19">
        <f>(K4+K7)/2</f>
        <v/>
      </c>
      <c r="L8" s="19">
        <f>(L4+L7)/2</f>
        <v/>
      </c>
      <c r="M8" s="19">
        <f>(M4+M7)/2</f>
        <v/>
      </c>
      <c r="N8" s="19">
        <f>(N4+N7)/2</f>
        <v/>
      </c>
      <c r="O8" s="19">
        <f>(O4+O7)/2</f>
        <v/>
      </c>
      <c r="P8" s="19">
        <f>(P4+P7)/2</f>
        <v/>
      </c>
      <c r="Q8" s="19">
        <f>(Q4+Q7)/2</f>
        <v/>
      </c>
      <c r="R8" s="19">
        <f>(R4+R7)/2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8" t="inlineStr">
        <is>
          <t>Interest rate (annual %)</t>
        </is>
      </c>
      <c r="B10" s="72" t="n">
        <v>1.5</v>
      </c>
      <c r="C10" s="73" t="inlineStr">
        <is>
          <t>(adjust; reflects current avg cost of debt)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inlineStr">
        <is>
          <t>Interest expense (Avg × rate ÷ 4)</t>
        </is>
      </c>
      <c r="B11" s="19">
        <f>B8*$B$10/100/4</f>
        <v/>
      </c>
      <c r="C11" s="19">
        <f>C8*$B$10/100/4</f>
        <v/>
      </c>
      <c r="D11" s="19">
        <f>D8*$B$10/100/4</f>
        <v/>
      </c>
      <c r="E11" s="19">
        <f>E8*$B$10/100/4</f>
        <v/>
      </c>
      <c r="F11" s="19">
        <f>F8*$B$10/100/4</f>
        <v/>
      </c>
      <c r="G11" s="19">
        <f>G8*$B$10/100/4</f>
        <v/>
      </c>
      <c r="H11" s="19">
        <f>H8*$B$10/100/4</f>
        <v/>
      </c>
      <c r="I11" s="19">
        <f>I8*$B$10/100/4</f>
        <v/>
      </c>
      <c r="J11" s="19">
        <f>J8*$B$10/100/4</f>
        <v/>
      </c>
      <c r="K11" s="19">
        <f>K8*$B$10/100/4</f>
        <v/>
      </c>
      <c r="L11" s="19">
        <f>L8*$B$10/100/4</f>
        <v/>
      </c>
      <c r="M11" s="19">
        <f>M8*$B$10/100/4</f>
        <v/>
      </c>
      <c r="N11" s="19">
        <f>N8*$B$10/100/4</f>
        <v/>
      </c>
      <c r="O11" s="19">
        <f>O8*$B$10/100/4</f>
        <v/>
      </c>
      <c r="P11" s="19">
        <f>P8*$B$10/100/4</f>
        <v/>
      </c>
      <c r="Q11" s="19">
        <f>Q8*$B$10/100/4</f>
        <v/>
      </c>
      <c r="R11" s="19">
        <f>R8*$B$10/100/4</f>
        <v/>
      </c>
    </row>
    <row r="12">
      <c r="A12" s="71" t="inlineStr">
        <is>
          <t xml:space="preserve">  Disclosed (fins_details, hist FY only)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74" t="inlineStr">
        <is>
          <t>Credit Metrics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8" t="inlineStr">
        <is>
          <t>Net Debt (Debt - Cash)</t>
        </is>
      </c>
      <c r="B15" s="39">
        <f>FS!B41-FS!B30</f>
        <v/>
      </c>
      <c r="C15" s="39">
        <f>FS!C41-FS!C30</f>
        <v/>
      </c>
      <c r="D15" s="39">
        <f>FS!D41-FS!D30</f>
        <v/>
      </c>
      <c r="E15" s="39">
        <f>FS!E41-FS!E30</f>
        <v/>
      </c>
      <c r="F15" s="39">
        <f>FS!F41-FS!F30</f>
        <v/>
      </c>
      <c r="G15" s="39">
        <f>FS!G41-FS!G30</f>
        <v/>
      </c>
      <c r="H15" s="39">
        <f>FS!H41-FS!H30</f>
        <v/>
      </c>
      <c r="I15" s="39">
        <f>FS!I41-FS!I30</f>
        <v/>
      </c>
      <c r="J15" s="39">
        <f>FS!J41-FS!J30</f>
        <v/>
      </c>
      <c r="K15" s="39">
        <f>FS!K41-FS!K30</f>
        <v/>
      </c>
      <c r="L15" s="39">
        <f>FS!L41-FS!L30</f>
        <v/>
      </c>
      <c r="M15" s="39">
        <f>FS!M41-FS!M30</f>
        <v/>
      </c>
      <c r="N15" s="39">
        <f>FS!N41-FS!N30</f>
        <v/>
      </c>
      <c r="O15" s="39">
        <f>FS!O41-FS!O30</f>
        <v/>
      </c>
      <c r="P15" s="39">
        <f>FS!P41-FS!P30</f>
        <v/>
      </c>
      <c r="Q15" s="39">
        <f>FS!Q41-FS!Q30</f>
        <v/>
      </c>
      <c r="R15" s="39">
        <f>FS!R41-FS!R30</f>
        <v/>
      </c>
    </row>
    <row r="16">
      <c r="A16" s="8" t="inlineStr">
        <is>
          <t>Net Debt / EBITDA (x)</t>
        </is>
      </c>
      <c r="B16" s="75">
        <f>IFERROR(B15/((FS!B9+FS!B70)*4),0)</f>
        <v/>
      </c>
      <c r="C16" s="75">
        <f>IFERROR(C15/((FS!C9+FS!C70)*4),0)</f>
        <v/>
      </c>
      <c r="D16" s="75">
        <f>IFERROR(D15/((FS!D9+FS!D70)*4),0)</f>
        <v/>
      </c>
      <c r="E16" s="75">
        <f>IFERROR(E15/((FS!E9+FS!E70)*4),0)</f>
        <v/>
      </c>
      <c r="F16" s="75">
        <f>IFERROR(F15/((FS!F9+FS!F70)*4),0)</f>
        <v/>
      </c>
      <c r="G16" s="75">
        <f>IFERROR(G15/((FS!G9+FS!G70)*4),0)</f>
        <v/>
      </c>
      <c r="H16" s="75">
        <f>IFERROR(H15/((FS!H9+FS!H70)*4),0)</f>
        <v/>
      </c>
      <c r="I16" s="75">
        <f>IFERROR(I15/((FS!I9+FS!I70)*4),0)</f>
        <v/>
      </c>
      <c r="J16" s="75">
        <f>IFERROR(J15/((FS!J9+FS!J70)*4),0)</f>
        <v/>
      </c>
      <c r="K16" s="75">
        <f>IFERROR(K15/((FS!K9+FS!K70)*4),0)</f>
        <v/>
      </c>
      <c r="L16" s="75">
        <f>IFERROR(L15/((FS!L9+FS!L70)*4),0)</f>
        <v/>
      </c>
      <c r="M16" s="75">
        <f>IFERROR(M15/((FS!M9+FS!M70)*4),0)</f>
        <v/>
      </c>
      <c r="N16" s="75">
        <f>IFERROR(N15/((FS!N9+FS!N70)*4),0)</f>
        <v/>
      </c>
      <c r="O16" s="75">
        <f>IFERROR(O15/((FS!O9+FS!O70)*4),0)</f>
        <v/>
      </c>
      <c r="P16" s="75">
        <f>IFERROR(P15/((FS!P9+FS!P70)*4),0)</f>
        <v/>
      </c>
      <c r="Q16" s="75">
        <f>IFERROR(Q15/((FS!Q9+FS!Q70)*4),0)</f>
        <v/>
      </c>
      <c r="R16" s="75">
        <f>IFERROR(R15/((FS!R9+FS!R70)*4),0)</f>
        <v/>
      </c>
    </row>
    <row r="17">
      <c r="A17" s="8" t="inlineStr">
        <is>
          <t>Interest Coverage (EBITDA/Int)</t>
        </is>
      </c>
      <c r="B17" s="76">
        <f>IFERROR((FS!B9+FS!B70)/B11,"")</f>
        <v/>
      </c>
      <c r="C17" s="76">
        <f>IFERROR((FS!C9+FS!C70)/C11,"")</f>
        <v/>
      </c>
      <c r="D17" s="76">
        <f>IFERROR((FS!D9+FS!D70)/D11,"")</f>
        <v/>
      </c>
      <c r="E17" s="76">
        <f>IFERROR((FS!E9+FS!E70)/E11,"")</f>
        <v/>
      </c>
      <c r="F17" s="76">
        <f>IFERROR((FS!F9+FS!F70)/F11,"")</f>
        <v/>
      </c>
      <c r="G17" s="76">
        <f>IFERROR((FS!G9+FS!G70)/G11,"")</f>
        <v/>
      </c>
      <c r="H17" s="76">
        <f>IFERROR((FS!H9+FS!H70)/H11,"")</f>
        <v/>
      </c>
      <c r="I17" s="76">
        <f>IFERROR((FS!I9+FS!I70)/I11,"")</f>
        <v/>
      </c>
      <c r="J17" s="76">
        <f>IFERROR((FS!J9+FS!J70)/J11,"")</f>
        <v/>
      </c>
      <c r="K17" s="76">
        <f>IFERROR((FS!K9+FS!K70)/K11,"")</f>
        <v/>
      </c>
      <c r="L17" s="76">
        <f>IFERROR((FS!L9+FS!L70)/L11,"")</f>
        <v/>
      </c>
      <c r="M17" s="76">
        <f>IFERROR((FS!M9+FS!M70)/M11,"")</f>
        <v/>
      </c>
      <c r="N17" s="76">
        <f>IFERROR((FS!N9+FS!N70)/N11,"")</f>
        <v/>
      </c>
      <c r="O17" s="76">
        <f>IFERROR((FS!O9+FS!O70)/O11,"")</f>
        <v/>
      </c>
      <c r="P17" s="76">
        <f>IFERROR((FS!P9+FS!P70)/P11,"")</f>
        <v/>
      </c>
      <c r="Q17" s="76">
        <f>IFERROR((FS!Q9+FS!Q70)/Q11,"")</f>
        <v/>
      </c>
      <c r="R17" s="76">
        <f>IFERROR((FS!R9+FS!R70)/R11,"")</f>
        <v/>
      </c>
    </row>
    <row r="18">
      <c r="A18" s="8" t="inlineStr">
        <is>
          <t>Debt / Equity (x)</t>
        </is>
      </c>
      <c r="B18" s="75">
        <f>IFERROR(FS!B41/FS!B48,0)</f>
        <v/>
      </c>
      <c r="C18" s="75">
        <f>IFERROR(FS!C41/FS!C48,0)</f>
        <v/>
      </c>
      <c r="D18" s="75">
        <f>IFERROR(FS!D41/FS!D48,0)</f>
        <v/>
      </c>
      <c r="E18" s="75">
        <f>IFERROR(FS!E41/FS!E48,0)</f>
        <v/>
      </c>
      <c r="F18" s="75">
        <f>IFERROR(FS!F41/FS!F48,0)</f>
        <v/>
      </c>
      <c r="G18" s="75">
        <f>IFERROR(FS!G41/FS!G48,0)</f>
        <v/>
      </c>
      <c r="H18" s="75">
        <f>IFERROR(FS!H41/FS!H48,0)</f>
        <v/>
      </c>
      <c r="I18" s="75">
        <f>IFERROR(FS!I41/FS!I48,0)</f>
        <v/>
      </c>
      <c r="J18" s="75">
        <f>IFERROR(FS!J41/FS!J48,0)</f>
        <v/>
      </c>
      <c r="K18" s="75">
        <f>IFERROR(FS!K41/FS!K48,0)</f>
        <v/>
      </c>
      <c r="L18" s="75">
        <f>IFERROR(FS!L41/FS!L48,0)</f>
        <v/>
      </c>
      <c r="M18" s="75">
        <f>IFERROR(FS!M41/FS!M48,0)</f>
        <v/>
      </c>
      <c r="N18" s="75">
        <f>IFERROR(FS!N41/FS!N48,0)</f>
        <v/>
      </c>
      <c r="O18" s="75">
        <f>IFERROR(FS!O41/FS!O48,0)</f>
        <v/>
      </c>
      <c r="P18" s="75">
        <f>IFERROR(FS!P41/FS!P48,0)</f>
        <v/>
      </c>
      <c r="Q18" s="75">
        <f>IFERROR(FS!Q41/FS!Q48,0)</f>
        <v/>
      </c>
      <c r="R18" s="75">
        <f>IFERROR(FS!R41/FS!R48,0)</f>
        <v/>
      </c>
    </row>
    <row r="19">
      <c r="A19" s="8" t="inlineStr">
        <is>
          <t>Debt / Total Cap (%)</t>
        </is>
      </c>
      <c r="B19" s="25">
        <f>IFERROR(FS!B41/(FS!B41+FS!B48)*100,0)</f>
        <v/>
      </c>
      <c r="C19" s="25">
        <f>IFERROR(FS!C41/(FS!C41+FS!C48)*100,0)</f>
        <v/>
      </c>
      <c r="D19" s="25">
        <f>IFERROR(FS!D41/(FS!D41+FS!D48)*100,0)</f>
        <v/>
      </c>
      <c r="E19" s="25">
        <f>IFERROR(FS!E41/(FS!E41+FS!E48)*100,0)</f>
        <v/>
      </c>
      <c r="F19" s="25">
        <f>IFERROR(FS!F41/(FS!F41+FS!F48)*100,0)</f>
        <v/>
      </c>
      <c r="G19" s="25">
        <f>IFERROR(FS!G41/(FS!G41+FS!G48)*100,0)</f>
        <v/>
      </c>
      <c r="H19" s="25">
        <f>IFERROR(FS!H41/(FS!H41+FS!H48)*100,0)</f>
        <v/>
      </c>
      <c r="I19" s="25">
        <f>IFERROR(FS!I41/(FS!I41+FS!I48)*100,0)</f>
        <v/>
      </c>
      <c r="J19" s="25">
        <f>IFERROR(FS!J41/(FS!J41+FS!J48)*100,0)</f>
        <v/>
      </c>
      <c r="K19" s="25">
        <f>IFERROR(FS!K41/(FS!K41+FS!K48)*100,0)</f>
        <v/>
      </c>
      <c r="L19" s="25">
        <f>IFERROR(FS!L41/(FS!L41+FS!L48)*100,0)</f>
        <v/>
      </c>
      <c r="M19" s="25">
        <f>IFERROR(FS!M41/(FS!M41+FS!M48)*100,0)</f>
        <v/>
      </c>
      <c r="N19" s="25">
        <f>IFERROR(FS!N41/(FS!N41+FS!N48)*100,0)</f>
        <v/>
      </c>
      <c r="O19" s="25">
        <f>IFERROR(FS!O41/(FS!O41+FS!O48)*100,0)</f>
        <v/>
      </c>
      <c r="P19" s="25">
        <f>IFERROR(FS!P41/(FS!P41+FS!P48)*100,0)</f>
        <v/>
      </c>
      <c r="Q19" s="25">
        <f>IFERROR(FS!Q41/(FS!Q41+FS!Q48)*100,0)</f>
        <v/>
      </c>
      <c r="R19" s="25">
        <f>IFERROR(FS!R41/(FS!R41+FS!R48)*100,0)</f>
        <v/>
      </c>
    </row>
    <row r="20">
      <c r="A20" s="8" t="inlineStr">
        <is>
          <t>Current Ratio (CA/CL)</t>
        </is>
      </c>
      <c r="B20" s="75">
        <f>IFERROR(FS!B34/(FS!B40+FS!B42),0)</f>
        <v/>
      </c>
      <c r="C20" s="75">
        <f>IFERROR(FS!C34/(FS!C40+FS!C42),0)</f>
        <v/>
      </c>
      <c r="D20" s="75">
        <f>IFERROR(FS!D34/(FS!D40+FS!D42),0)</f>
        <v/>
      </c>
      <c r="E20" s="75">
        <f>IFERROR(FS!E34/(FS!E40+FS!E42),0)</f>
        <v/>
      </c>
      <c r="F20" s="75">
        <f>IFERROR(FS!F34/(FS!F40+FS!F42),0)</f>
        <v/>
      </c>
      <c r="G20" s="75">
        <f>IFERROR(FS!G34/(FS!G40+FS!G42),0)</f>
        <v/>
      </c>
      <c r="H20" s="75">
        <f>IFERROR(FS!H34/(FS!H40+FS!H42),0)</f>
        <v/>
      </c>
      <c r="I20" s="75">
        <f>IFERROR(FS!I34/(FS!I40+FS!I42),0)</f>
        <v/>
      </c>
      <c r="J20" s="75">
        <f>IFERROR(FS!J34/(FS!J40+FS!J42),0)</f>
        <v/>
      </c>
      <c r="K20" s="75">
        <f>IFERROR(FS!K34/(FS!K40+FS!K42),0)</f>
        <v/>
      </c>
      <c r="L20" s="75">
        <f>IFERROR(FS!L34/(FS!L40+FS!L42),0)</f>
        <v/>
      </c>
      <c r="M20" s="75">
        <f>IFERROR(FS!M34/(FS!M40+FS!M42),0)</f>
        <v/>
      </c>
      <c r="N20" s="75">
        <f>IFERROR(FS!N34/(FS!N40+FS!N42),0)</f>
        <v/>
      </c>
      <c r="O20" s="75">
        <f>IFERROR(FS!O34/(FS!O40+FS!O42),0)</f>
        <v/>
      </c>
      <c r="P20" s="75">
        <f>IFERROR(FS!P34/(FS!P40+FS!P42),0)</f>
        <v/>
      </c>
      <c r="Q20" s="75">
        <f>IFERROR(FS!Q34/(FS!Q40+FS!Q42),0)</f>
        <v/>
      </c>
      <c r="R20" s="75">
        <f>IFERROR(FS!R34/(FS!R40+FS!R42),0)</f>
        <v/>
      </c>
    </row>
    <row r="21">
      <c r="A21" s="8" t="inlineStr">
        <is>
          <t>Quick Ratio (CA-Inv)/CL</t>
        </is>
      </c>
      <c r="B21" s="75">
        <f>IFERROR((FS!B34-FS!B32)/(FS!B40+FS!B42),0)</f>
        <v/>
      </c>
      <c r="C21" s="75">
        <f>IFERROR((FS!C34-FS!C32)/(FS!C40+FS!C42),0)</f>
        <v/>
      </c>
      <c r="D21" s="75">
        <f>IFERROR((FS!D34-FS!D32)/(FS!D40+FS!D42),0)</f>
        <v/>
      </c>
      <c r="E21" s="75">
        <f>IFERROR((FS!E34-FS!E32)/(FS!E40+FS!E42),0)</f>
        <v/>
      </c>
      <c r="F21" s="75">
        <f>IFERROR((FS!F34-FS!F32)/(FS!F40+FS!F42),0)</f>
        <v/>
      </c>
      <c r="G21" s="75">
        <f>IFERROR((FS!G34-FS!G32)/(FS!G40+FS!G42),0)</f>
        <v/>
      </c>
      <c r="H21" s="75">
        <f>IFERROR((FS!H34-FS!H32)/(FS!H40+FS!H42),0)</f>
        <v/>
      </c>
      <c r="I21" s="75">
        <f>IFERROR((FS!I34-FS!I32)/(FS!I40+FS!I42),0)</f>
        <v/>
      </c>
      <c r="J21" s="75">
        <f>IFERROR((FS!J34-FS!J32)/(FS!J40+FS!J42),0)</f>
        <v/>
      </c>
      <c r="K21" s="75">
        <f>IFERROR((FS!K34-FS!K32)/(FS!K40+FS!K42),0)</f>
        <v/>
      </c>
      <c r="L21" s="75">
        <f>IFERROR((FS!L34-FS!L32)/(FS!L40+FS!L42),0)</f>
        <v/>
      </c>
      <c r="M21" s="75">
        <f>IFERROR((FS!M34-FS!M32)/(FS!M40+FS!M42),0)</f>
        <v/>
      </c>
      <c r="N21" s="75">
        <f>IFERROR((FS!N34-FS!N32)/(FS!N40+FS!N42),0)</f>
        <v/>
      </c>
      <c r="O21" s="75">
        <f>IFERROR((FS!O34-FS!O32)/(FS!O40+FS!O42),0)</f>
        <v/>
      </c>
      <c r="P21" s="75">
        <f>IFERROR((FS!P34-FS!P32)/(FS!P40+FS!P42),0)</f>
        <v/>
      </c>
      <c r="Q21" s="75">
        <f>IFERROR((FS!Q34-FS!Q32)/(FS!Q40+FS!Q42),0)</f>
        <v/>
      </c>
      <c r="R21" s="75">
        <f>IFERROR((FS!R34-FS!R32)/(FS!R40+FS!R42),0)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60" t="inlineStr">
        <is>
          <t>Meidensha — Revenue by Customer (single-Q, 億円). Source: deck p5 得意先別売上収益 vision-extracted.</t>
        </is>
      </c>
    </row>
    <row r="2">
      <c r="A2" s="2" t="n"/>
    </row>
    <row r="3">
      <c r="A3" s="2" t="inlineStr">
        <is>
          <t>No customer observations in decks DB.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3" customWidth="1" min="3" max="3"/>
    <col width="15" customWidth="1" min="4" max="4"/>
    <col width="13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60" t="inlineStr">
        <is>
          <t>Meidensha — Cycle Multiple Bands (full history, PIT, split-adjusted)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UPCYCLE → read P/E.  BOTTOM → read P/B (trough EPS makes P/E meaningless). Phase clock is DESCRIPTIVE (full-sample OPM median), never a signal.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4" t="inlineStr">
        <is>
          <t>0. P/B comparability gate — cash ÷ equity (FY-end)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range 5.9%-23.7%, mean 15.4%, first3→last3 drift -0.8pp → P/B COMPARABLE across time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34" t="inlineStr">
        <is>
          <t>1. Full-history band (monthly, TTM basis)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5" t="inlineStr">
        <is>
          <t>Metric</t>
        </is>
      </c>
      <c r="B8" s="5" t="inlineStr">
        <is>
          <t>n</t>
        </is>
      </c>
      <c r="C8" s="5" t="inlineStr">
        <is>
          <t>min</t>
        </is>
      </c>
      <c r="D8" s="5" t="inlineStr">
        <is>
          <t>p10</t>
        </is>
      </c>
      <c r="E8" s="5" t="inlineStr">
        <is>
          <t>p25</t>
        </is>
      </c>
      <c r="F8" s="5" t="inlineStr">
        <is>
          <t>median</t>
        </is>
      </c>
      <c r="G8" s="5" t="inlineStr">
        <is>
          <t>p75</t>
        </is>
      </c>
      <c r="H8" s="5" t="inlineStr">
        <is>
          <t>p90</t>
        </is>
      </c>
      <c r="I8" s="5" t="inlineStr">
        <is>
          <t>max</t>
        </is>
      </c>
      <c r="J8" s="2" t="n"/>
      <c r="K8" s="2" t="n"/>
    </row>
    <row r="9">
      <c r="A9" s="8" t="inlineStr">
        <is>
          <t>P/E</t>
        </is>
      </c>
      <c r="B9" s="2" t="n">
        <v>193</v>
      </c>
      <c r="C9" s="47" t="n">
        <v>7.62</v>
      </c>
      <c r="D9" s="47" t="n">
        <v>10.38</v>
      </c>
      <c r="E9" s="47" t="n">
        <v>12.06</v>
      </c>
      <c r="F9" s="47" t="n">
        <v>14.03</v>
      </c>
      <c r="G9" s="47" t="n">
        <v>18.76</v>
      </c>
      <c r="H9" s="47" t="n">
        <v>40.32</v>
      </c>
      <c r="I9" s="47" t="n">
        <v>84.89</v>
      </c>
      <c r="J9" s="2" t="n"/>
      <c r="K9" s="2" t="n"/>
    </row>
    <row r="10">
      <c r="A10" s="8" t="inlineStr">
        <is>
          <t>P/B</t>
        </is>
      </c>
      <c r="B10" s="2" t="n">
        <v>209</v>
      </c>
      <c r="C10" s="47" t="n">
        <v>0.78</v>
      </c>
      <c r="D10" s="47" t="n">
        <v>0.89</v>
      </c>
      <c r="E10" s="47" t="n">
        <v>1.11</v>
      </c>
      <c r="F10" s="47" t="n">
        <v>1.34</v>
      </c>
      <c r="G10" s="47" t="n">
        <v>1.65</v>
      </c>
      <c r="H10" s="47" t="n">
        <v>1.94</v>
      </c>
      <c r="I10" s="47" t="n">
        <v>3.08</v>
      </c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34" t="inlineStr">
        <is>
          <t>2. By cycle phase  (OPM median split = 4.21%)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5" t="inlineStr">
        <is>
          <t>Phase</t>
        </is>
      </c>
      <c r="B13" s="5" t="inlineStr">
        <is>
          <t>months</t>
        </is>
      </c>
      <c r="C13" s="5" t="inlineStr">
        <is>
          <t>OPM med %</t>
        </is>
      </c>
      <c r="D13" s="5" t="inlineStr">
        <is>
          <t>P/E p25</t>
        </is>
      </c>
      <c r="E13" s="5" t="inlineStr">
        <is>
          <t>P/E med</t>
        </is>
      </c>
      <c r="F13" s="5" t="inlineStr">
        <is>
          <t>P/E p75</t>
        </is>
      </c>
      <c r="G13" s="5" t="inlineStr">
        <is>
          <t>P/B min</t>
        </is>
      </c>
      <c r="H13" s="5" t="inlineStr">
        <is>
          <t>P/B p25</t>
        </is>
      </c>
      <c r="I13" s="5" t="inlineStr">
        <is>
          <t>P/B med</t>
        </is>
      </c>
      <c r="J13" s="5" t="inlineStr">
        <is>
          <t>P/B p75</t>
        </is>
      </c>
      <c r="K13" s="5" t="inlineStr">
        <is>
          <t>P/B max</t>
        </is>
      </c>
    </row>
    <row r="14">
      <c r="A14" s="2" t="inlineStr">
        <is>
          <t>1 Recovery (低OPM・回升)</t>
        </is>
      </c>
      <c r="B14" s="2" t="n">
        <v>50</v>
      </c>
      <c r="C14" s="77" t="n">
        <v>3.5</v>
      </c>
      <c r="D14" s="77" t="n">
        <v>16.9</v>
      </c>
      <c r="E14" s="77" t="n">
        <v>31.4</v>
      </c>
      <c r="F14" s="77" t="n">
        <v>51.6</v>
      </c>
      <c r="G14" s="47" t="n">
        <v>0.89</v>
      </c>
      <c r="H14" s="47" t="n">
        <v>1.31</v>
      </c>
      <c r="I14" s="47" t="n">
        <v>1.43</v>
      </c>
      <c r="J14" s="47" t="n">
        <v>1.61</v>
      </c>
      <c r="K14" s="47" t="n">
        <v>1.95</v>
      </c>
    </row>
    <row r="15">
      <c r="A15" s="2" t="inlineStr">
        <is>
          <t>2 Expansion (高OPM・上行)</t>
        </is>
      </c>
      <c r="B15" s="2" t="n">
        <v>89</v>
      </c>
      <c r="C15" s="77" t="n">
        <v>5</v>
      </c>
      <c r="D15" s="77" t="n">
        <v>11.2</v>
      </c>
      <c r="E15" s="77" t="n">
        <v>13.2</v>
      </c>
      <c r="F15" s="77" t="n">
        <v>15.2</v>
      </c>
      <c r="G15" s="47" t="n">
        <v>0.78</v>
      </c>
      <c r="H15" s="47" t="n">
        <v>1.2</v>
      </c>
      <c r="I15" s="47" t="n">
        <v>1.48</v>
      </c>
      <c r="J15" s="47" t="n">
        <v>1.76</v>
      </c>
      <c r="K15" s="47" t="n">
        <v>3.08</v>
      </c>
    </row>
    <row r="16">
      <c r="A16" s="2" t="inlineStr">
        <is>
          <t>3 Early-down (高OPM・转跌)</t>
        </is>
      </c>
      <c r="B16" s="2" t="n">
        <v>17</v>
      </c>
      <c r="C16" s="77" t="n">
        <v>4.3</v>
      </c>
      <c r="D16" s="77" t="n">
        <v>11.2</v>
      </c>
      <c r="E16" s="77" t="n">
        <v>12.1</v>
      </c>
      <c r="F16" s="77" t="n">
        <v>14.3</v>
      </c>
      <c r="G16" s="47" t="n">
        <v>0.82</v>
      </c>
      <c r="H16" s="47" t="n">
        <v>1.11</v>
      </c>
      <c r="I16" s="47" t="n">
        <v>1.18</v>
      </c>
      <c r="J16" s="47" t="n">
        <v>1.24</v>
      </c>
      <c r="K16" s="47" t="n">
        <v>1.51</v>
      </c>
    </row>
    <row r="17">
      <c r="A17" s="2" t="inlineStr">
        <is>
          <t>4 Trough (低OPM・下行)</t>
        </is>
      </c>
      <c r="B17" s="2" t="n">
        <v>41</v>
      </c>
      <c r="C17" s="77" t="n">
        <v>3.8</v>
      </c>
      <c r="D17" s="77" t="n">
        <v>12.8</v>
      </c>
      <c r="E17" s="77" t="n">
        <v>14.6</v>
      </c>
      <c r="F17" s="77" t="n">
        <v>16.4</v>
      </c>
      <c r="G17" s="47" t="n">
        <v>0.78</v>
      </c>
      <c r="H17" s="47" t="n">
        <v>0.88</v>
      </c>
      <c r="I17" s="47" t="n">
        <v>1.1</v>
      </c>
      <c r="J17" s="47" t="n">
        <v>1.22</v>
      </c>
      <c r="K17" s="47" t="n">
        <v>1.59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34" t="inlineStr">
        <is>
          <t>3. Cycle extremes (±12M local, PIT). 'prov' = inside the last 12M, no right-hand side yet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5" t="inlineStr">
        <is>
          <t>Event</t>
        </is>
      </c>
      <c r="B20" s="5" t="inlineStr">
        <is>
          <t>Date</t>
        </is>
      </c>
      <c r="C20" s="5" t="inlineStr">
        <is>
          <t>Price</t>
        </is>
      </c>
      <c r="D20" s="5" t="inlineStr">
        <is>
          <t>TTM OP (億)</t>
        </is>
      </c>
      <c r="E20" s="5" t="inlineStr">
        <is>
          <t>OPM %</t>
        </is>
      </c>
      <c r="F20" s="5" t="inlineStr">
        <is>
          <t>TTM EPS</t>
        </is>
      </c>
      <c r="G20" s="5" t="inlineStr">
        <is>
          <t>BPS</t>
        </is>
      </c>
      <c r="H20" s="5" t="inlineStr">
        <is>
          <t>P/E</t>
        </is>
      </c>
      <c r="I20" s="5" t="inlineStr">
        <is>
          <t>P/B</t>
        </is>
      </c>
      <c r="J20" s="5" t="inlineStr">
        <is>
          <t>confirmed</t>
        </is>
      </c>
      <c r="K20" s="2" t="n"/>
    </row>
    <row r="21">
      <c r="A21" s="2" t="inlineStr">
        <is>
          <t>盈利峰 OP peak</t>
        </is>
      </c>
      <c r="B21" s="2" t="inlineStr">
        <is>
          <t>2009-05</t>
        </is>
      </c>
      <c r="C21" s="95" t="n">
        <v>1920</v>
      </c>
      <c r="D21" s="12" t="n">
        <v>41</v>
      </c>
      <c r="E21" s="77" t="n">
        <v>2.1</v>
      </c>
      <c r="F21" s="95" t="n">
        <v>-24</v>
      </c>
      <c r="G21" s="95" t="n">
        <v>1117</v>
      </c>
      <c r="H21" s="77" t="n"/>
      <c r="I21" s="47" t="n">
        <v>1.72</v>
      </c>
      <c r="J21" s="2" t="inlineStr">
        <is>
          <t>yes</t>
        </is>
      </c>
      <c r="K21" s="2" t="n"/>
    </row>
    <row r="22">
      <c r="A22" s="2" t="inlineStr">
        <is>
          <t>盈利峰 OP peak</t>
        </is>
      </c>
      <c r="B22" s="2" t="inlineStr">
        <is>
          <t>2016-01</t>
        </is>
      </c>
      <c r="C22" s="95" t="n">
        <v>2310</v>
      </c>
      <c r="D22" s="12" t="n">
        <v>140</v>
      </c>
      <c r="E22" s="77" t="n">
        <v>5.8</v>
      </c>
      <c r="F22" s="95" t="n">
        <v>179</v>
      </c>
      <c r="G22" s="95" t="n">
        <v>1457</v>
      </c>
      <c r="H22" s="77" t="n">
        <v>12.9</v>
      </c>
      <c r="I22" s="47" t="n">
        <v>1.59</v>
      </c>
      <c r="J22" s="2" t="inlineStr">
        <is>
          <t>yes</t>
        </is>
      </c>
      <c r="K22" s="2" t="n"/>
    </row>
    <row r="23">
      <c r="A23" s="2" t="inlineStr">
        <is>
          <t>盈利峰 OP peak</t>
        </is>
      </c>
      <c r="B23" s="2" t="inlineStr">
        <is>
          <t>2019-01</t>
        </is>
      </c>
      <c r="C23" s="95" t="n">
        <v>1466</v>
      </c>
      <c r="D23" s="12" t="n">
        <v>116</v>
      </c>
      <c r="E23" s="77" t="n">
        <v>4.8</v>
      </c>
      <c r="F23" s="95" t="n">
        <v>192</v>
      </c>
      <c r="G23" s="95" t="n">
        <v>1768</v>
      </c>
      <c r="H23" s="77" t="n">
        <v>7.6</v>
      </c>
      <c r="I23" s="47" t="n">
        <v>0.83</v>
      </c>
      <c r="J23" s="2" t="inlineStr">
        <is>
          <t>yes</t>
        </is>
      </c>
      <c r="K23" s="2" t="n"/>
    </row>
    <row r="24">
      <c r="A24" s="2" t="inlineStr">
        <is>
          <t>盈利峰 OP peak</t>
        </is>
      </c>
      <c r="B24" s="2" t="inlineStr">
        <is>
          <t>2021-01</t>
        </is>
      </c>
      <c r="C24" s="95" t="n">
        <v>2429</v>
      </c>
      <c r="D24" s="12" t="n">
        <v>141</v>
      </c>
      <c r="E24" s="77" t="n">
        <v>5.7</v>
      </c>
      <c r="F24" s="95" t="n">
        <v>192</v>
      </c>
      <c r="G24" s="95" t="n">
        <v>1920</v>
      </c>
      <c r="H24" s="77" t="n">
        <v>12.6</v>
      </c>
      <c r="I24" s="47" t="n">
        <v>1.27</v>
      </c>
      <c r="J24" s="2" t="inlineStr">
        <is>
          <t>yes</t>
        </is>
      </c>
      <c r="K24" s="2" t="n"/>
    </row>
    <row r="25">
      <c r="A25" s="2" t="inlineStr">
        <is>
          <t>盈利峰 OP peak</t>
        </is>
      </c>
      <c r="B25" s="2" t="inlineStr">
        <is>
          <t>2026-07</t>
        </is>
      </c>
      <c r="C25" s="95" t="n">
        <v>9620</v>
      </c>
      <c r="D25" s="12" t="n">
        <v>314</v>
      </c>
      <c r="E25" s="77" t="n">
        <v>9.199999999999999</v>
      </c>
      <c r="F25" s="95" t="n">
        <v>622</v>
      </c>
      <c r="G25" s="95" t="n">
        <v>3855</v>
      </c>
      <c r="H25" s="77" t="n">
        <v>15.5</v>
      </c>
      <c r="I25" s="47" t="n">
        <v>2.5</v>
      </c>
      <c r="J25" s="2" t="inlineStr">
        <is>
          <t>prov</t>
        </is>
      </c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inlineStr">
        <is>
          <t>盈利谷 OP trough</t>
        </is>
      </c>
      <c r="B27" s="2" t="inlineStr">
        <is>
          <t>2009-10</t>
        </is>
      </c>
      <c r="C27" s="95" t="n">
        <v>2320</v>
      </c>
      <c r="D27" s="12" t="n">
        <v>21</v>
      </c>
      <c r="E27" s="77" t="n">
        <v>1.2</v>
      </c>
      <c r="F27" s="95" t="n">
        <v>-30</v>
      </c>
      <c r="G27" s="95" t="n">
        <v>1022</v>
      </c>
      <c r="H27" s="77" t="n"/>
      <c r="I27" s="47" t="n">
        <v>2.27</v>
      </c>
      <c r="J27" s="2" t="inlineStr">
        <is>
          <t>yes</t>
        </is>
      </c>
      <c r="K27" s="2" t="n"/>
    </row>
    <row r="28">
      <c r="A28" s="2" t="inlineStr">
        <is>
          <t>盈利谷 OP trough</t>
        </is>
      </c>
      <c r="B28" s="2" t="inlineStr">
        <is>
          <t>2017-01</t>
        </is>
      </c>
      <c r="C28" s="95" t="n">
        <v>1925</v>
      </c>
      <c r="D28" s="12" t="n">
        <v>74</v>
      </c>
      <c r="E28" s="77" t="n">
        <v>3.2</v>
      </c>
      <c r="F28" s="95" t="n">
        <v>108</v>
      </c>
      <c r="G28" s="95" t="n">
        <v>1488</v>
      </c>
      <c r="H28" s="77" t="n">
        <v>17.8</v>
      </c>
      <c r="I28" s="47" t="n">
        <v>1.29</v>
      </c>
      <c r="J28" s="2" t="inlineStr">
        <is>
          <t>yes</t>
        </is>
      </c>
      <c r="K28" s="2" t="n"/>
    </row>
    <row r="29">
      <c r="A29" s="2" t="inlineStr">
        <is>
          <t>盈利谷 OP trough</t>
        </is>
      </c>
      <c r="B29" s="2" t="inlineStr">
        <is>
          <t>2019-07</t>
        </is>
      </c>
      <c r="C29" s="95" t="n">
        <v>1691</v>
      </c>
      <c r="D29" s="12" t="n">
        <v>102</v>
      </c>
      <c r="E29" s="77" t="n">
        <v>4.2</v>
      </c>
      <c r="F29" s="95" t="n">
        <v>172</v>
      </c>
      <c r="G29" s="95" t="n">
        <v>1845</v>
      </c>
      <c r="H29" s="77" t="n">
        <v>9.800000000000001</v>
      </c>
      <c r="I29" s="47" t="n">
        <v>0.92</v>
      </c>
      <c r="J29" s="2" t="inlineStr">
        <is>
          <t>yes</t>
        </is>
      </c>
      <c r="K29" s="2" t="n"/>
    </row>
    <row r="30">
      <c r="A30" s="2" t="inlineStr">
        <is>
          <t>盈利谷 OP trough</t>
        </is>
      </c>
      <c r="B30" s="2" t="inlineStr">
        <is>
          <t>2021-05</t>
        </is>
      </c>
      <c r="C30" s="95" t="n">
        <v>2254</v>
      </c>
      <c r="D30" s="12" t="n">
        <v>84</v>
      </c>
      <c r="E30" s="77" t="n">
        <v>3.6</v>
      </c>
      <c r="F30" s="95" t="n">
        <v>161</v>
      </c>
      <c r="G30" s="95" t="n">
        <v>2128</v>
      </c>
      <c r="H30" s="77" t="n">
        <v>14</v>
      </c>
      <c r="I30" s="47" t="n">
        <v>1.06</v>
      </c>
      <c r="J30" s="2" t="inlineStr">
        <is>
          <t>yes</t>
        </is>
      </c>
      <c r="K30" s="2" t="n"/>
    </row>
    <row r="31">
      <c r="A31" s="2" t="inlineStr">
        <is>
          <t>盈利谷 OP trough</t>
        </is>
      </c>
      <c r="B31" s="2" t="inlineStr">
        <is>
          <t>2023-01</t>
        </is>
      </c>
      <c r="C31" s="95" t="n">
        <v>1922</v>
      </c>
      <c r="D31" s="12" t="n">
        <v>59</v>
      </c>
      <c r="E31" s="77" t="n">
        <v>2.2</v>
      </c>
      <c r="F31" s="95" t="n">
        <v>118</v>
      </c>
      <c r="G31" s="95" t="n">
        <v>2247</v>
      </c>
      <c r="H31" s="77" t="n">
        <v>16.3</v>
      </c>
      <c r="I31" s="47" t="n">
        <v>0.86</v>
      </c>
      <c r="J31" s="2" t="inlineStr">
        <is>
          <t>yes</t>
        </is>
      </c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inlineStr">
        <is>
          <t>股价顶 Price top</t>
        </is>
      </c>
      <c r="B33" s="2" t="inlineStr">
        <is>
          <t>2009-07</t>
        </is>
      </c>
      <c r="C33" s="95" t="n">
        <v>2835</v>
      </c>
      <c r="D33" s="12" t="n">
        <v>35</v>
      </c>
      <c r="E33" s="77" t="n">
        <v>1.8</v>
      </c>
      <c r="F33" s="95" t="n">
        <v>-19</v>
      </c>
      <c r="G33" s="95" t="n">
        <v>1054</v>
      </c>
      <c r="H33" s="77" t="n"/>
      <c r="I33" s="47" t="n">
        <v>2.69</v>
      </c>
      <c r="J33" s="2" t="inlineStr">
        <is>
          <t>yes</t>
        </is>
      </c>
      <c r="K33" s="2" t="n"/>
    </row>
    <row r="34">
      <c r="A34" s="2" t="inlineStr">
        <is>
          <t>股价顶 Price top</t>
        </is>
      </c>
      <c r="B34" s="2" t="inlineStr">
        <is>
          <t>2014-03</t>
        </is>
      </c>
      <c r="C34" s="95" t="n">
        <v>2285</v>
      </c>
      <c r="D34" s="12" t="n">
        <v>88</v>
      </c>
      <c r="E34" s="77" t="n">
        <v>4.2</v>
      </c>
      <c r="F34" s="95" t="n">
        <v>95</v>
      </c>
      <c r="G34" s="95" t="n">
        <v>1192</v>
      </c>
      <c r="H34" s="77" t="n">
        <v>24</v>
      </c>
      <c r="I34" s="47" t="n">
        <v>1.92</v>
      </c>
      <c r="J34" s="2" t="inlineStr">
        <is>
          <t>yes</t>
        </is>
      </c>
      <c r="K34" s="2" t="n"/>
    </row>
    <row r="35">
      <c r="A35" s="2" t="inlineStr">
        <is>
          <t>股价顶 Price top</t>
        </is>
      </c>
      <c r="B35" s="2" t="inlineStr">
        <is>
          <t>2016-03</t>
        </is>
      </c>
      <c r="C35" s="95" t="n">
        <v>2565</v>
      </c>
      <c r="D35" s="12" t="n">
        <v>140</v>
      </c>
      <c r="E35" s="77" t="n">
        <v>5.8</v>
      </c>
      <c r="F35" s="95" t="n">
        <v>179</v>
      </c>
      <c r="G35" s="95" t="n">
        <v>1457</v>
      </c>
      <c r="H35" s="77" t="n">
        <v>14.3</v>
      </c>
      <c r="I35" s="47" t="n">
        <v>1.76</v>
      </c>
      <c r="J35" s="2" t="inlineStr">
        <is>
          <t>yes</t>
        </is>
      </c>
      <c r="K35" s="2" t="n"/>
    </row>
    <row r="36">
      <c r="A36" s="2" t="inlineStr">
        <is>
          <t>股价顶 Price top</t>
        </is>
      </c>
      <c r="B36" s="2" t="inlineStr">
        <is>
          <t>2017-12</t>
        </is>
      </c>
      <c r="C36" s="95" t="n">
        <v>2330</v>
      </c>
      <c r="D36" s="12" t="n">
        <v>89</v>
      </c>
      <c r="E36" s="77" t="n">
        <v>3.9</v>
      </c>
      <c r="F36" s="95" t="n">
        <v>116</v>
      </c>
      <c r="G36" s="95" t="n">
        <v>1614</v>
      </c>
      <c r="H36" s="77" t="n">
        <v>20.2</v>
      </c>
      <c r="I36" s="47" t="n">
        <v>1.44</v>
      </c>
      <c r="J36" s="2" t="inlineStr">
        <is>
          <t>yes</t>
        </is>
      </c>
      <c r="K36" s="2" t="n"/>
    </row>
    <row r="37">
      <c r="A37" s="2" t="inlineStr">
        <is>
          <t>股价顶 Price top</t>
        </is>
      </c>
      <c r="B37" s="2" t="inlineStr">
        <is>
          <t>2019-12</t>
        </is>
      </c>
      <c r="C37" s="95" t="n">
        <v>2422</v>
      </c>
      <c r="D37" s="12" t="n">
        <v>110</v>
      </c>
      <c r="E37" s="77" t="n">
        <v>4.4</v>
      </c>
      <c r="F37" s="95" t="n">
        <v>176</v>
      </c>
      <c r="G37" s="95" t="n">
        <v>1845</v>
      </c>
      <c r="H37" s="77" t="n">
        <v>13.7</v>
      </c>
      <c r="I37" s="47" t="n">
        <v>1.31</v>
      </c>
      <c r="J37" s="2" t="inlineStr">
        <is>
          <t>yes</t>
        </is>
      </c>
      <c r="K37" s="2" t="n"/>
    </row>
    <row r="38">
      <c r="A38" s="2" t="inlineStr">
        <is>
          <t>股价顶 Price top</t>
        </is>
      </c>
      <c r="B38" s="2" t="inlineStr">
        <is>
          <t>2021-12</t>
        </is>
      </c>
      <c r="C38" s="95" t="n">
        <v>2740</v>
      </c>
      <c r="D38" s="12" t="n">
        <v>92</v>
      </c>
      <c r="E38" s="77" t="n">
        <v>3.8</v>
      </c>
      <c r="F38" s="95" t="n">
        <v>186</v>
      </c>
      <c r="G38" s="95" t="n">
        <v>2128</v>
      </c>
      <c r="H38" s="77" t="n">
        <v>14.7</v>
      </c>
      <c r="I38" s="47" t="n">
        <v>1.29</v>
      </c>
      <c r="J38" s="2" t="inlineStr">
        <is>
          <t>yes</t>
        </is>
      </c>
      <c r="K38" s="2" t="n"/>
    </row>
    <row r="39">
      <c r="A39" s="2" t="inlineStr">
        <is>
          <t>股价顶 Price top</t>
        </is>
      </c>
      <c r="B39" s="2" t="inlineStr">
        <is>
          <t>2026-08</t>
        </is>
      </c>
      <c r="C39" s="95" t="n">
        <v>11870</v>
      </c>
      <c r="D39" s="12" t="n">
        <v>314</v>
      </c>
      <c r="E39" s="77" t="n">
        <v>9.199999999999999</v>
      </c>
      <c r="F39" s="95" t="n">
        <v>622</v>
      </c>
      <c r="G39" s="95" t="n">
        <v>3855</v>
      </c>
      <c r="H39" s="77" t="n">
        <v>19.1</v>
      </c>
      <c r="I39" s="47" t="n">
        <v>3.08</v>
      </c>
      <c r="J39" s="2" t="inlineStr">
        <is>
          <t>prov</t>
        </is>
      </c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inlineStr">
        <is>
          <t>股价底 Price bottom</t>
        </is>
      </c>
      <c r="B41" s="2" t="inlineStr">
        <is>
          <t>2010-08</t>
        </is>
      </c>
      <c r="C41" s="95" t="n">
        <v>1265</v>
      </c>
      <c r="D41" s="12" t="n">
        <v>42</v>
      </c>
      <c r="E41" s="77" t="n">
        <v>2.5</v>
      </c>
      <c r="F41" s="95" t="n">
        <v>32</v>
      </c>
      <c r="G41" s="95" t="n">
        <v>1033</v>
      </c>
      <c r="H41" s="77" t="n">
        <v>39.9</v>
      </c>
      <c r="I41" s="47" t="n">
        <v>1.22</v>
      </c>
      <c r="J41" s="2" t="inlineStr">
        <is>
          <t>yes</t>
        </is>
      </c>
      <c r="K41" s="2" t="n"/>
    </row>
    <row r="42">
      <c r="A42" s="2" t="inlineStr">
        <is>
          <t>股价底 Price bottom</t>
        </is>
      </c>
      <c r="B42" s="2" t="inlineStr">
        <is>
          <t>2011-12</t>
        </is>
      </c>
      <c r="C42" s="95" t="n">
        <v>1295</v>
      </c>
      <c r="D42" s="12" t="n">
        <v>60</v>
      </c>
      <c r="E42" s="77" t="n">
        <v>3.3</v>
      </c>
      <c r="F42" s="95" t="n">
        <v>18</v>
      </c>
      <c r="G42" s="95" t="n">
        <v>978</v>
      </c>
      <c r="H42" s="77" t="n">
        <v>71.2</v>
      </c>
      <c r="I42" s="47" t="n">
        <v>1.32</v>
      </c>
      <c r="J42" s="2" t="inlineStr">
        <is>
          <t>yes</t>
        </is>
      </c>
      <c r="K42" s="2" t="n"/>
    </row>
    <row r="43">
      <c r="A43" s="2" t="inlineStr">
        <is>
          <t>股价底 Price bottom</t>
        </is>
      </c>
      <c r="B43" s="2" t="inlineStr">
        <is>
          <t>2015-01</t>
        </is>
      </c>
      <c r="C43" s="95" t="n">
        <v>1770</v>
      </c>
      <c r="D43" s="12" t="n">
        <v>104</v>
      </c>
      <c r="E43" s="77" t="n">
        <v>4.6</v>
      </c>
      <c r="F43" s="95" t="n">
        <v>173</v>
      </c>
      <c r="G43" s="95" t="n">
        <v>1173</v>
      </c>
      <c r="H43" s="77" t="n">
        <v>10.2</v>
      </c>
      <c r="I43" s="47" t="n">
        <v>1.51</v>
      </c>
      <c r="J43" s="2" t="inlineStr">
        <is>
          <t>yes</t>
        </is>
      </c>
      <c r="K43" s="2" t="n"/>
    </row>
    <row r="44">
      <c r="A44" s="2" t="inlineStr">
        <is>
          <t>股价底 Price bottom</t>
        </is>
      </c>
      <c r="B44" s="2" t="inlineStr">
        <is>
          <t>2016-08</t>
        </is>
      </c>
      <c r="C44" s="95" t="n">
        <v>1630</v>
      </c>
      <c r="D44" s="12" t="n">
        <v>100</v>
      </c>
      <c r="E44" s="77" t="n">
        <v>4.2</v>
      </c>
      <c r="F44" s="95" t="n">
        <v>137</v>
      </c>
      <c r="G44" s="95" t="n">
        <v>1488</v>
      </c>
      <c r="H44" s="77" t="n">
        <v>11.9</v>
      </c>
      <c r="I44" s="47" t="n">
        <v>1.1</v>
      </c>
      <c r="J44" s="2" t="inlineStr">
        <is>
          <t>yes</t>
        </is>
      </c>
      <c r="K44" s="2" t="n"/>
    </row>
    <row r="45">
      <c r="A45" s="2" t="inlineStr">
        <is>
          <t>股价底 Price bottom</t>
        </is>
      </c>
      <c r="B45" s="2" t="inlineStr">
        <is>
          <t>2018-12</t>
        </is>
      </c>
      <c r="C45" s="95" t="n">
        <v>1383</v>
      </c>
      <c r="D45" s="12" t="n">
        <v>115</v>
      </c>
      <c r="E45" s="77" t="n">
        <v>4.8</v>
      </c>
      <c r="F45" s="95" t="n">
        <v>173</v>
      </c>
      <c r="G45" s="95" t="n">
        <v>1768</v>
      </c>
      <c r="H45" s="77" t="n">
        <v>8</v>
      </c>
      <c r="I45" s="47" t="n">
        <v>0.78</v>
      </c>
      <c r="J45" s="2" t="inlineStr">
        <is>
          <t>yes</t>
        </is>
      </c>
      <c r="K45" s="2" t="n"/>
    </row>
    <row r="46">
      <c r="A46" s="2" t="inlineStr">
        <is>
          <t>股价底 Price bottom</t>
        </is>
      </c>
      <c r="B46" s="2" t="inlineStr">
        <is>
          <t>2020-07</t>
        </is>
      </c>
      <c r="C46" s="95" t="n">
        <v>1563</v>
      </c>
      <c r="D46" s="12" t="n">
        <v>133</v>
      </c>
      <c r="E46" s="77" t="n">
        <v>5.3</v>
      </c>
      <c r="F46" s="95" t="n">
        <v>182</v>
      </c>
      <c r="G46" s="95" t="n">
        <v>1920</v>
      </c>
      <c r="H46" s="77" t="n">
        <v>8.6</v>
      </c>
      <c r="I46" s="47" t="n">
        <v>0.8100000000000001</v>
      </c>
      <c r="J46" s="2" t="inlineStr">
        <is>
          <t>yes</t>
        </is>
      </c>
      <c r="K46" s="2" t="n"/>
    </row>
    <row r="47">
      <c r="A47" s="2" t="inlineStr">
        <is>
          <t>股价底 Price bottom</t>
        </is>
      </c>
      <c r="B47" s="2" t="inlineStr">
        <is>
          <t>2023-04</t>
        </is>
      </c>
      <c r="C47" s="95" t="n">
        <v>1839</v>
      </c>
      <c r="D47" s="12" t="n">
        <v>59</v>
      </c>
      <c r="E47" s="77" t="n">
        <v>2.2</v>
      </c>
      <c r="F47" s="95" t="n">
        <v>118</v>
      </c>
      <c r="G47" s="95" t="n">
        <v>2247</v>
      </c>
      <c r="H47" s="77" t="n">
        <v>15.6</v>
      </c>
      <c r="I47" s="47" t="n">
        <v>0.82</v>
      </c>
      <c r="J47" s="2" t="inlineStr">
        <is>
          <t>yes</t>
        </is>
      </c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34" t="inlineStr">
        <is>
          <t>4. Current reading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8" t="inlineStr">
        <is>
          <t>As of</t>
        </is>
      </c>
      <c r="B50" s="2" t="inlineStr">
        <is>
          <t>2026-09-16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8" t="inlineStr">
        <is>
          <t>Price (¥)</t>
        </is>
      </c>
      <c r="B51" s="95" t="n">
        <v>10540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8" t="inlineStr">
        <is>
          <t>TTM EPS (¥)</t>
        </is>
      </c>
      <c r="B52" s="95" t="n">
        <v>622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8" t="inlineStr">
        <is>
          <t>BPS (¥)</t>
        </is>
      </c>
      <c r="B53" s="95" t="n">
        <v>3855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8" t="inlineStr">
        <is>
          <t>TTM OPM %</t>
        </is>
      </c>
      <c r="B54" s="77" t="n">
        <v>9.199999999999999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8" t="inlineStr">
        <is>
          <t>TTM OP YoY %</t>
        </is>
      </c>
      <c r="B55" s="77" t="n">
        <v>38.2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8" t="inlineStr">
        <is>
          <t>P/E</t>
        </is>
      </c>
      <c r="B56" s="77" t="n">
        <v>16.9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8" t="inlineStr">
        <is>
          <t>P/B</t>
        </is>
      </c>
      <c r="B57" s="47" t="n">
        <v>2.73</v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8" t="inlineStr">
        <is>
          <t>Phase (mechanical)</t>
        </is>
      </c>
      <c r="B58" s="2" t="inlineStr">
        <is>
          <t>2 Expansion (高OPM・上行)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34" t="inlineStr">
        <is>
          <t>5. ONE-YEAR-FORWARD price = band × model NTM EPS / NTM BPS (live off Valuation). NOT a fair value today: the bands above are measured on TRAILING EPS/BPS, so applying them to NTM figures prices the stock 12M out AT THAT MULTIPLE. Band × CURRENT TTM EPS/BPS is the today-fair-value read.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inlineStr">
        <is>
          <t>NTM EPS (¥) — Valuation!B32</t>
        </is>
      </c>
      <c r="B61" s="109">
        <f>Valuation!B32</f>
        <v/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inlineStr">
        <is>
          <t>NTM BPS (¥) — Valuation!B45</t>
        </is>
      </c>
      <c r="B62" s="109">
        <f>Valuation!B45</f>
        <v/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5" t="inlineStr">
        <is>
          <t>Band</t>
        </is>
      </c>
      <c r="B64" s="5" t="inlineStr">
        <is>
          <t>P/E x</t>
        </is>
      </c>
      <c r="C64" s="5" t="inlineStr">
        <is>
          <t>→ price</t>
        </is>
      </c>
      <c r="D64" s="5" t="inlineStr">
        <is>
          <t>P/B x</t>
        </is>
      </c>
      <c r="E64" s="5" t="inlineStr">
        <is>
          <t>→ price</t>
        </is>
      </c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Full-history p25</t>
        </is>
      </c>
      <c r="B65" s="47" t="n">
        <v>12.06</v>
      </c>
      <c r="C65" s="110">
        <f>B65*$B$61</f>
        <v/>
      </c>
      <c r="D65" s="47" t="n">
        <v>1.11</v>
      </c>
      <c r="E65" s="110">
        <f>D65*$B$62</f>
        <v/>
      </c>
      <c r="F65" s="2" t="n"/>
      <c r="G65" s="2" t="n"/>
      <c r="H65" s="2" t="n"/>
      <c r="I65" s="2" t="n"/>
      <c r="J65" s="2" t="n"/>
      <c r="K65" s="2" t="n"/>
    </row>
    <row r="66">
      <c r="A66" s="2" t="inlineStr">
        <is>
          <t>Full-history median</t>
        </is>
      </c>
      <c r="B66" s="47" t="n">
        <v>14.03</v>
      </c>
      <c r="C66" s="110">
        <f>B66*$B$61</f>
        <v/>
      </c>
      <c r="D66" s="47" t="n">
        <v>1.34</v>
      </c>
      <c r="E66" s="110">
        <f>D66*$B$62</f>
        <v/>
      </c>
      <c r="F66" s="2" t="n"/>
      <c r="G66" s="2" t="n"/>
      <c r="H66" s="2" t="n"/>
      <c r="I66" s="2" t="n"/>
      <c r="J66" s="2" t="n"/>
      <c r="K66" s="2" t="n"/>
    </row>
    <row r="67">
      <c r="A67" s="2" t="inlineStr">
        <is>
          <t>Full-history p75</t>
        </is>
      </c>
      <c r="B67" s="47" t="n">
        <v>18.76</v>
      </c>
      <c r="C67" s="110">
        <f>B67*$B$61</f>
        <v/>
      </c>
      <c r="D67" s="47" t="n">
        <v>1.65</v>
      </c>
      <c r="E67" s="110">
        <f>D67*$B$62</f>
        <v/>
      </c>
      <c r="F67" s="2" t="n"/>
      <c r="G67" s="2" t="n"/>
      <c r="H67" s="2" t="n"/>
      <c r="I67" s="2" t="n"/>
      <c r="J67" s="2" t="n"/>
      <c r="K67" s="2" t="n"/>
    </row>
    <row r="68">
      <c r="A68" s="2" t="inlineStr">
        <is>
          <t>Full-history p90</t>
        </is>
      </c>
      <c r="B68" s="47" t="n">
        <v>40.32</v>
      </c>
      <c r="C68" s="110">
        <f>B68*$B$61</f>
        <v/>
      </c>
      <c r="D68" s="47" t="n">
        <v>1.94</v>
      </c>
      <c r="E68" s="110">
        <f>D68*$B$62</f>
        <v/>
      </c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1 Recovery (低OPM・回升) median</t>
        </is>
      </c>
      <c r="B69" s="47" t="n">
        <v>31.44</v>
      </c>
      <c r="C69" s="110">
        <f>B69*$B$61</f>
        <v/>
      </c>
      <c r="D69" s="47" t="n">
        <v>1.43</v>
      </c>
      <c r="E69" s="110">
        <f>D69*$B$62</f>
        <v/>
      </c>
      <c r="F69" s="2" t="n"/>
      <c r="G69" s="2" t="n"/>
      <c r="H69" s="2" t="n"/>
      <c r="I69" s="2" t="n"/>
      <c r="J69" s="2" t="n"/>
      <c r="K69" s="2" t="n"/>
    </row>
    <row r="70">
      <c r="A70" s="2" t="inlineStr">
        <is>
          <t>2 Expansion (高OPM・上行) median</t>
        </is>
      </c>
      <c r="B70" s="47" t="n">
        <v>13.17</v>
      </c>
      <c r="C70" s="110">
        <f>B70*$B$61</f>
        <v/>
      </c>
      <c r="D70" s="47" t="n">
        <v>1.48</v>
      </c>
      <c r="E70" s="110">
        <f>D70*$B$62</f>
        <v/>
      </c>
      <c r="F70" s="2" t="n"/>
      <c r="G70" s="2" t="n"/>
      <c r="H70" s="2" t="n"/>
      <c r="I70" s="2" t="n"/>
      <c r="J70" s="2" t="n"/>
      <c r="K70" s="2" t="n"/>
    </row>
    <row r="71">
      <c r="A71" s="2" t="inlineStr">
        <is>
          <t>3 Early-down (高OPM・转跌) median</t>
        </is>
      </c>
      <c r="B71" s="47" t="n">
        <v>12.15</v>
      </c>
      <c r="C71" s="110">
        <f>B71*$B$61</f>
        <v/>
      </c>
      <c r="D71" s="47" t="n">
        <v>1.18</v>
      </c>
      <c r="E71" s="110">
        <f>D71*$B$62</f>
        <v/>
      </c>
      <c r="F71" s="2" t="n"/>
      <c r="G71" s="2" t="n"/>
      <c r="H71" s="2" t="n"/>
      <c r="I71" s="2" t="n"/>
      <c r="J71" s="2" t="n"/>
      <c r="K71" s="2" t="n"/>
    </row>
    <row r="72">
      <c r="A72" s="2" t="inlineStr">
        <is>
          <t>4 Trough (低OPM・下行) median</t>
        </is>
      </c>
      <c r="B72" s="47" t="n">
        <v>14.57</v>
      </c>
      <c r="C72" s="110">
        <f>B72*$B$61</f>
        <v/>
      </c>
      <c r="D72" s="47" t="n">
        <v>1.1</v>
      </c>
      <c r="E72" s="110">
        <f>D72*$B$62</f>
        <v/>
      </c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34" t="inlineStr">
        <is>
          <t>6. FORWARD P/E on 会社予想 (company guidance), full history, PIT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A CONSENSUS forward band is not buildable here — PIT consensus snapshots only start 2026-04-09 (~5 months). Company guidance is carried PIT in fins_summary since 2008, and 会社予想PER is the multiple the JP market actually quotes. The sandbag is handled explicitly by the beat table below, not left implicit in the multiple.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5" t="inlineStr">
        <is>
          <t>Guide horizon (compare LIKE FOR LIKE)</t>
        </is>
      </c>
      <c r="B78" s="5" t="inlineStr">
        <is>
          <t>n</t>
        </is>
      </c>
      <c r="C78" s="5" t="inlineStr">
        <is>
          <t>min</t>
        </is>
      </c>
      <c r="D78" s="5" t="inlineStr">
        <is>
          <t>p10</t>
        </is>
      </c>
      <c r="E78" s="5" t="inlineStr">
        <is>
          <t>p25</t>
        </is>
      </c>
      <c r="F78" s="5" t="inlineStr">
        <is>
          <t>median</t>
        </is>
      </c>
      <c r="G78" s="5" t="inlineStr">
        <is>
          <t>p75</t>
        </is>
      </c>
      <c r="H78" s="5" t="inlineStr">
        <is>
          <t>p90</t>
        </is>
      </c>
      <c r="I78" s="5" t="inlineStr">
        <is>
          <t>max</t>
        </is>
      </c>
      <c r="J78" s="2" t="n"/>
      <c r="K78" s="2" t="n"/>
    </row>
    <row r="79">
      <c r="A79" s="2" t="inlineStr">
        <is>
          <t>9-11M left (期初 4-6月)</t>
        </is>
      </c>
      <c r="B79" s="2" t="n">
        <v>35</v>
      </c>
      <c r="C79" s="77" t="n">
        <v>8.800000000000001</v>
      </c>
      <c r="D79" s="77" t="n">
        <v>10.9</v>
      </c>
      <c r="E79" s="77" t="n">
        <v>13</v>
      </c>
      <c r="F79" s="77" t="n">
        <v>15.3</v>
      </c>
      <c r="G79" s="77" t="n">
        <v>17.6</v>
      </c>
      <c r="H79" s="77" t="n">
        <v>32.1</v>
      </c>
      <c r="I79" s="77" t="n">
        <v>174.5</v>
      </c>
      <c r="J79" s="2" t="n"/>
      <c r="K79" s="2" t="n"/>
    </row>
    <row r="80">
      <c r="A80" s="8" t="inlineStr">
        <is>
          <t>6-8M left (1Q後 7-9月)   ← CURRENT</t>
        </is>
      </c>
      <c r="B80" s="2" t="n">
        <v>51</v>
      </c>
      <c r="C80" s="77" t="n">
        <v>9.800000000000001</v>
      </c>
      <c r="D80" s="77" t="n">
        <v>10.7</v>
      </c>
      <c r="E80" s="77" t="n">
        <v>12.2</v>
      </c>
      <c r="F80" s="77" t="n">
        <v>15</v>
      </c>
      <c r="G80" s="77" t="n">
        <v>16.6</v>
      </c>
      <c r="H80" s="77" t="n">
        <v>26.4</v>
      </c>
      <c r="I80" s="77" t="n">
        <v>139.5</v>
      </c>
      <c r="J80" s="2" t="n"/>
      <c r="K80" s="2" t="n"/>
    </row>
    <row r="81">
      <c r="A81" s="2" t="inlineStr">
        <is>
          <t>3-5M left (2Q後 10-12月)</t>
        </is>
      </c>
      <c r="B81" s="2" t="n">
        <v>50</v>
      </c>
      <c r="C81" s="77" t="n">
        <v>8.699999999999999</v>
      </c>
      <c r="D81" s="77" t="n">
        <v>10.7</v>
      </c>
      <c r="E81" s="77" t="n">
        <v>13.4</v>
      </c>
      <c r="F81" s="77" t="n">
        <v>15.4</v>
      </c>
      <c r="G81" s="77" t="n">
        <v>17.5</v>
      </c>
      <c r="H81" s="77" t="n">
        <v>28.9</v>
      </c>
      <c r="I81" s="77" t="n">
        <v>189.1</v>
      </c>
      <c r="J81" s="2" t="n"/>
      <c r="K81" s="2" t="n"/>
    </row>
    <row r="82">
      <c r="A82" s="2" t="inlineStr">
        <is>
          <t>0-2M left (3Q後 1-3月)</t>
        </is>
      </c>
      <c r="B82" s="2" t="n">
        <v>51</v>
      </c>
      <c r="C82" s="77" t="n">
        <v>9.199999999999999</v>
      </c>
      <c r="D82" s="77" t="n">
        <v>10.4</v>
      </c>
      <c r="E82" s="77" t="n">
        <v>13.3</v>
      </c>
      <c r="F82" s="77" t="n">
        <v>14.9</v>
      </c>
      <c r="G82" s="77" t="n">
        <v>18.1</v>
      </c>
      <c r="H82" s="77" t="n">
        <v>56</v>
      </c>
      <c r="I82" s="77" t="n">
        <v>189.1</v>
      </c>
      <c r="J82" s="2" t="n"/>
      <c r="K82" s="2" t="n"/>
    </row>
    <row r="83">
      <c r="A83" s="2" t="inlineStr">
        <is>
          <t>All horizons pooled</t>
        </is>
      </c>
      <c r="B83" s="2" t="n">
        <v>187</v>
      </c>
      <c r="C83" s="77" t="n">
        <v>8.699999999999999</v>
      </c>
      <c r="D83" s="77" t="n">
        <v>10.7</v>
      </c>
      <c r="E83" s="77" t="n">
        <v>13</v>
      </c>
      <c r="F83" s="77" t="n">
        <v>15.2</v>
      </c>
      <c r="G83" s="77" t="n">
        <v>17.5</v>
      </c>
      <c r="H83" s="77" t="n">
        <v>41.9</v>
      </c>
      <c r="I83" s="77" t="n">
        <v>189.1</v>
      </c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inlineStr">
        <is>
          <t>Guide EPS in force (¥)</t>
        </is>
      </c>
      <c r="B85" s="28" t="n">
        <v>551.1</v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inlineStr">
        <is>
          <t>Guided FY end</t>
        </is>
      </c>
      <c r="B86" s="2" t="inlineStr">
        <is>
          <t>2027-03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inlineStr">
        <is>
          <t>Months of guide left</t>
        </is>
      </c>
      <c r="B87" s="2" t="n">
        <v>6</v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8" t="inlineStr">
        <is>
          <t>CURRENT 会社予想 fwd P/E</t>
        </is>
      </c>
      <c r="B88" s="47" t="n">
        <v>19.13</v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inlineStr">
        <is>
          <t xml:space="preserve">  percentile within the SAME horizon bucket</t>
        </is>
      </c>
      <c r="B89" s="77" t="n">
        <v>81.5</v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8" t="inlineStr">
        <is>
          <t>Sandbag check — actual FY EPS ÷ the FIRST guide issued for that FY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5" t="inlineStr">
        <is>
          <t>Stat</t>
        </is>
      </c>
      <c r="B92" s="5" t="inlineStr">
        <is>
          <t>n</t>
        </is>
      </c>
      <c r="C92" s="5" t="inlineStr">
        <is>
          <t>min</t>
        </is>
      </c>
      <c r="D92" s="5" t="inlineStr">
        <is>
          <t>p25</t>
        </is>
      </c>
      <c r="E92" s="5" t="inlineStr">
        <is>
          <t>median</t>
        </is>
      </c>
      <c r="F92" s="5" t="inlineStr">
        <is>
          <t>p75</t>
        </is>
      </c>
      <c r="G92" s="5" t="inlineStr">
        <is>
          <t>max</t>
        </is>
      </c>
      <c r="H92" s="5" t="inlineStr">
        <is>
          <t>beat rate %</t>
        </is>
      </c>
      <c r="I92" s="2" t="n"/>
      <c r="J92" s="2" t="n"/>
      <c r="K92" s="2" t="n"/>
    </row>
    <row r="93">
      <c r="A93" s="8" t="inlineStr">
        <is>
          <t>guide → actual factor</t>
        </is>
      </c>
      <c r="B93" s="2" t="n">
        <v>17</v>
      </c>
      <c r="C93" s="90" t="n">
        <v>0.672</v>
      </c>
      <c r="D93" s="90" t="n">
        <v>0.962</v>
      </c>
      <c r="E93" s="90" t="n">
        <v>1.145</v>
      </c>
      <c r="F93" s="90" t="n">
        <v>1.688</v>
      </c>
      <c r="G93" s="90" t="n">
        <v>5.102</v>
      </c>
      <c r="H93" s="80" t="n">
        <v>71</v>
      </c>
      <c r="I93" s="2" t="n"/>
      <c r="J93" s="2" t="n"/>
      <c r="K93" s="2" t="n"/>
    </row>
    <row r="94">
      <c r="A94" s="2" t="inlineStr">
        <is>
          <t>Read: a factor of 1.20 means the company came in 20% above its own opening guide. The max is a post-crash artefact (guide reset to near-zero), so use the median.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34" t="inlineStr">
        <is>
          <t>Same price, four EPS vintages — this is what the 'P/E' argument is really about</t>
        </is>
      </c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5" t="inlineStr">
        <is>
          <t>EPS vintage</t>
        </is>
      </c>
      <c r="B97" s="5" t="inlineStr">
        <is>
          <t>FY EPS (¥)</t>
        </is>
      </c>
      <c r="C97" s="5" t="inlineStr">
        <is>
          <t>fwd P/E</t>
        </is>
      </c>
      <c r="D97" s="5" t="inlineStr">
        <is>
          <t>implied beat vs guide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会社 guide (fins_summary)</t>
        </is>
      </c>
      <c r="B98" s="28" t="n">
        <v>551.1</v>
      </c>
      <c r="C98" s="81">
        <f>IFERROR(10540.0/B98,"")</f>
        <v/>
      </c>
      <c r="D98" s="93">
        <f>IFERROR(B98/B98,"")</f>
        <v/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inlineStr">
        <is>
          <t>街道 consensus (Comp sheet)</t>
        </is>
      </c>
      <c r="B99" s="30">
        <f>IFERROR(INDEX(Comp!I:I,MATCH("65080",Comp!A:A,0)),"")</f>
        <v/>
      </c>
      <c r="C99" s="81">
        <f>IFERROR(10540.0/B99,"")</f>
        <v/>
      </c>
      <c r="D99" s="93">
        <f>IFERROR(B99/B98,"")</f>
        <v/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guide × historical median beat</t>
        </is>
      </c>
      <c r="B100" s="26">
        <f>B98*1.1449</f>
        <v/>
      </c>
      <c r="C100" s="81">
        <f>IFERROR(10540.0/B100,"")</f>
        <v/>
      </c>
      <c r="D100" s="93">
        <f>IFERROR(B100/B98,"")</f>
        <v/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8" t="inlineStr">
        <is>
          <t>本模型 this model (FY guide-year)</t>
        </is>
      </c>
      <c r="B101" s="30">
        <f>FS!W22</f>
        <v/>
      </c>
      <c r="C101" s="81">
        <f>IFERROR(10540.0/B101,"")</f>
        <v/>
      </c>
      <c r="D101" s="93">
        <f>IFERROR(B101/B98,"")</f>
        <v/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inlineStr">
        <is>
          <t>Price used: ¥10,540 (2026-09-16). The 'implied beat' column says what each EPS vintage assumes about the sandbag — compare it against the beat-factor distribution above before believing any of them.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60" t="inlineStr">
        <is>
          <t>Meidensha — Integrity Checks. All cells should be 0. Master cell at top.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62" t="inlineStr">
        <is>
          <t>MASTER STATUS</t>
        </is>
      </c>
      <c r="B3" s="82">
        <f>IF(SUMPRODUCT(ABS(IFERROR(B6:R12,0)))&lt;0.5,"✓ ALL CHECKS PASS","✗ ERRORS DETECTED — review red cells below")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8" t="inlineStr">
        <is>
          <t>Check</t>
        </is>
      </c>
      <c r="B5" s="8" t="inlineStr">
        <is>
          <t>FY24Q1</t>
        </is>
      </c>
      <c r="C5" s="8" t="inlineStr">
        <is>
          <t>FY24Q2</t>
        </is>
      </c>
      <c r="D5" s="8" t="inlineStr">
        <is>
          <t>FY24Q3</t>
        </is>
      </c>
      <c r="E5" s="8" t="inlineStr">
        <is>
          <t>FY24Q4</t>
        </is>
      </c>
      <c r="F5" s="8" t="inlineStr">
        <is>
          <t>FY25Q1</t>
        </is>
      </c>
      <c r="G5" s="8" t="inlineStr">
        <is>
          <t>FY25Q2</t>
        </is>
      </c>
      <c r="H5" s="8" t="inlineStr">
        <is>
          <t>FY25Q3</t>
        </is>
      </c>
      <c r="I5" s="8" t="inlineStr">
        <is>
          <t>FY25Q4</t>
        </is>
      </c>
      <c r="J5" s="8" t="inlineStr">
        <is>
          <t>FY26Q1</t>
        </is>
      </c>
      <c r="K5" s="8" t="inlineStr">
        <is>
          <t>FY26Q2</t>
        </is>
      </c>
      <c r="L5" s="8" t="inlineStr">
        <is>
          <t>FY26Q3</t>
        </is>
      </c>
      <c r="M5" s="8" t="inlineStr">
        <is>
          <t>FY26Q4</t>
        </is>
      </c>
      <c r="N5" s="8" t="inlineStr">
        <is>
          <t>FY27Q1</t>
        </is>
      </c>
      <c r="O5" s="8" t="inlineStr">
        <is>
          <t>FY27Q2</t>
        </is>
      </c>
      <c r="P5" s="8" t="inlineStr">
        <is>
          <t>FY27Q3</t>
        </is>
      </c>
      <c r="Q5" s="8" t="inlineStr">
        <is>
          <t>FY27Q4</t>
        </is>
      </c>
      <c r="R5" s="8" t="inlineStr">
        <is>
          <t>FY28Q1</t>
        </is>
      </c>
    </row>
    <row r="6">
      <c r="A6" s="8" t="inlineStr">
        <is>
          <t>BS: TA - TL - TE</t>
        </is>
      </c>
      <c r="B6" s="83">
        <f>FS!B50</f>
        <v/>
      </c>
      <c r="C6" s="83">
        <f>FS!C50</f>
        <v/>
      </c>
      <c r="D6" s="83">
        <f>FS!D50</f>
        <v/>
      </c>
      <c r="E6" s="83">
        <f>FS!E50</f>
        <v/>
      </c>
      <c r="F6" s="83">
        <f>FS!F50</f>
        <v/>
      </c>
      <c r="G6" s="83">
        <f>FS!G50</f>
        <v/>
      </c>
      <c r="H6" s="83">
        <f>FS!H50</f>
        <v/>
      </c>
      <c r="I6" s="83">
        <f>FS!I50</f>
        <v/>
      </c>
      <c r="J6" s="83">
        <f>FS!J50</f>
        <v/>
      </c>
      <c r="K6" s="83">
        <f>FS!K50</f>
        <v/>
      </c>
      <c r="L6" s="83">
        <f>FS!L50</f>
        <v/>
      </c>
      <c r="M6" s="83">
        <f>FS!M50</f>
        <v/>
      </c>
      <c r="N6" s="83">
        <f>FS!N50</f>
        <v/>
      </c>
      <c r="O6" s="83">
        <f>FS!O50</f>
        <v/>
      </c>
      <c r="P6" s="83">
        <f>FS!P50</f>
        <v/>
      </c>
      <c r="Q6" s="83">
        <f>FS!Q50</f>
        <v/>
      </c>
      <c r="R6" s="83">
        <f>FS!R50</f>
        <v/>
      </c>
    </row>
    <row r="7">
      <c r="A7" s="8" t="inlineStr">
        <is>
          <t>Cash tie: BS Cash - (Prior Cash + CF NetΔ)</t>
        </is>
      </c>
      <c r="B7" s="2" t="n"/>
      <c r="C7" s="83">
        <f>FS!C30 - (FS!B30 + FS!C66)</f>
        <v/>
      </c>
      <c r="D7" s="83">
        <f>FS!D30 - (FS!C30 + FS!D66)</f>
        <v/>
      </c>
      <c r="E7" s="83">
        <f>FS!E30 - (FS!D30 + FS!E66)</f>
        <v/>
      </c>
      <c r="F7" s="83">
        <f>FS!F30 - (FS!E30 + FS!F66)</f>
        <v/>
      </c>
      <c r="G7" s="83">
        <f>FS!G30 - (FS!F30 + FS!G66)</f>
        <v/>
      </c>
      <c r="H7" s="83">
        <f>FS!H30 - (FS!G30 + FS!H66)</f>
        <v/>
      </c>
      <c r="I7" s="83">
        <f>FS!I30 - (FS!H30 + FS!I66)</f>
        <v/>
      </c>
      <c r="J7" s="83">
        <f>FS!J30 - (FS!I30 + FS!J66)</f>
        <v/>
      </c>
      <c r="K7" s="83">
        <f>FS!K30 - (FS!J30 + FS!K66)</f>
        <v/>
      </c>
      <c r="L7" s="83">
        <f>FS!L30 - (FS!K30 + FS!L66)</f>
        <v/>
      </c>
      <c r="M7" s="83">
        <f>FS!M30 - (FS!L30 + FS!M66)</f>
        <v/>
      </c>
      <c r="N7" s="83">
        <f>FS!N30 - (FS!M30 + FS!N66)</f>
        <v/>
      </c>
      <c r="O7" s="83">
        <f>FS!O30 - (FS!N30 + FS!O66)</f>
        <v/>
      </c>
      <c r="P7" s="83">
        <f>FS!P30 - (FS!O30 + FS!P66)</f>
        <v/>
      </c>
      <c r="Q7" s="83">
        <f>FS!Q30 - (FS!P30 + FS!Q66)</f>
        <v/>
      </c>
      <c r="R7" s="83">
        <f>FS!R30 - (FS!Q30 + FS!R66)</f>
        <v/>
      </c>
    </row>
    <row r="8">
      <c r="A8" s="8" t="inlineStr">
        <is>
          <t>NI link: PL NI - CF NI</t>
        </is>
      </c>
      <c r="B8" s="83">
        <f>FS!B18 - FS!B69</f>
        <v/>
      </c>
      <c r="C8" s="83">
        <f>FS!C18 - FS!C69</f>
        <v/>
      </c>
      <c r="D8" s="83">
        <f>FS!D18 - FS!D69</f>
        <v/>
      </c>
      <c r="E8" s="83">
        <f>FS!E18 - FS!E69</f>
        <v/>
      </c>
      <c r="F8" s="83">
        <f>FS!F18 - FS!F69</f>
        <v/>
      </c>
      <c r="G8" s="83">
        <f>FS!G18 - FS!G69</f>
        <v/>
      </c>
      <c r="H8" s="83">
        <f>FS!H18 - FS!H69</f>
        <v/>
      </c>
      <c r="I8" s="83">
        <f>FS!I18 - FS!I69</f>
        <v/>
      </c>
      <c r="J8" s="83">
        <f>FS!J18 - FS!J69</f>
        <v/>
      </c>
      <c r="K8" s="83">
        <f>FS!K18 - FS!K69</f>
        <v/>
      </c>
      <c r="L8" s="83">
        <f>FS!L18 - FS!L69</f>
        <v/>
      </c>
      <c r="M8" s="83">
        <f>FS!M18 - FS!M69</f>
        <v/>
      </c>
      <c r="N8" s="83">
        <f>FS!N18 - FS!N69</f>
        <v/>
      </c>
      <c r="O8" s="83">
        <f>FS!O18 - FS!O69</f>
        <v/>
      </c>
      <c r="P8" s="83">
        <f>FS!P18 - FS!P69</f>
        <v/>
      </c>
      <c r="Q8" s="83">
        <f>FS!Q18 - FS!Q69</f>
        <v/>
      </c>
      <c r="R8" s="83">
        <f>FS!R18 - FS!R69</f>
        <v/>
      </c>
    </row>
    <row r="9">
      <c r="A9" s="8" t="inlineStr">
        <is>
          <t>RE roll: ΔRE - (NI - Div - Buyback)</t>
        </is>
      </c>
      <c r="B9" s="2" t="n"/>
      <c r="C9" s="83">
        <f>FS!C46 - (FS!B46 + FS!C18 - FS!C75 - FS!C76)</f>
        <v/>
      </c>
      <c r="D9" s="83">
        <f>FS!D46 - (FS!C46 + FS!D18 - FS!D75 - FS!D76)</f>
        <v/>
      </c>
      <c r="E9" s="83">
        <f>FS!E46 - (FS!D46 + FS!E18 - FS!E75 - FS!E76)</f>
        <v/>
      </c>
      <c r="F9" s="83">
        <f>FS!F46 - (FS!E46 + FS!F18 - FS!F75 - FS!F76)</f>
        <v/>
      </c>
      <c r="G9" s="83">
        <f>FS!G46 - (FS!F46 + FS!G18 - FS!G75 - FS!G76)</f>
        <v/>
      </c>
      <c r="H9" s="83">
        <f>FS!H46 - (FS!G46 + FS!H18 - FS!H75 - FS!H76)</f>
        <v/>
      </c>
      <c r="I9" s="83">
        <f>FS!I46 - (FS!H46 + FS!I18 - FS!I75 - FS!I76)</f>
        <v/>
      </c>
      <c r="J9" s="83">
        <f>FS!J46 - (FS!I46 + FS!J18 - FS!J75 - FS!J76)</f>
        <v/>
      </c>
      <c r="K9" s="83">
        <f>FS!K46 - (FS!J46 + FS!K18 - FS!K75 - FS!K76)</f>
        <v/>
      </c>
      <c r="L9" s="83">
        <f>FS!L46 - (FS!K46 + FS!L18 - FS!L75 - FS!L76)</f>
        <v/>
      </c>
      <c r="M9" s="83">
        <f>FS!M46 - (FS!L46 + FS!M18 - FS!M75 - FS!M76)</f>
        <v/>
      </c>
      <c r="N9" s="83">
        <f>FS!N46 - (FS!M46 + FS!N18 - FS!N75 - FS!N76)</f>
        <v/>
      </c>
      <c r="O9" s="83">
        <f>FS!O46 - (FS!N46 + FS!O18 - FS!O75 - FS!O76)</f>
        <v/>
      </c>
      <c r="P9" s="83">
        <f>FS!P46 - (FS!O46 + FS!P18 - FS!P75 - FS!P76)</f>
        <v/>
      </c>
      <c r="Q9" s="83">
        <f>FS!Q46 - (FS!P46 + FS!Q18 - FS!Q75 - FS!Q76)</f>
        <v/>
      </c>
      <c r="R9" s="83">
        <f>FS!R46 - (FS!Q46 + FS!R18 - FS!R75 - FS!R76)</f>
        <v/>
      </c>
    </row>
    <row r="10">
      <c r="A10" s="8" t="inlineStr">
        <is>
          <t>ΔWC tie: CF ΔWC vs BS ΔAR/Inv/AP</t>
        </is>
      </c>
      <c r="B10" s="2" t="n"/>
      <c r="C10" s="83">
        <f>FS!C71 - (-(FS!C31-FS!B31) - (FS!C32-FS!B32) + (FS!C40-FS!B40))</f>
        <v/>
      </c>
      <c r="D10" s="83">
        <f>FS!D71 - (-(FS!D31-FS!C31) - (FS!D32-FS!C32) + (FS!D40-FS!C40))</f>
        <v/>
      </c>
      <c r="E10" s="83">
        <f>FS!E71 - (-(FS!E31-FS!D31) - (FS!E32-FS!D32) + (FS!E40-FS!D40))</f>
        <v/>
      </c>
      <c r="F10" s="83">
        <f>FS!F71 - (-(FS!F31-FS!E31) - (FS!F32-FS!E32) + (FS!F40-FS!E40))</f>
        <v/>
      </c>
      <c r="G10" s="83">
        <f>FS!G71 - (-(FS!G31-FS!F31) - (FS!G32-FS!F32) + (FS!G40-FS!F40))</f>
        <v/>
      </c>
      <c r="H10" s="83">
        <f>FS!H71 - (-(FS!H31-FS!G31) - (FS!H32-FS!G32) + (FS!H40-FS!G40))</f>
        <v/>
      </c>
      <c r="I10" s="83">
        <f>FS!I71 - (-(FS!I31-FS!H31) - (FS!I32-FS!H32) + (FS!I40-FS!H40))</f>
        <v/>
      </c>
      <c r="J10" s="83">
        <f>FS!J71 - (-(FS!J31-FS!I31) - (FS!J32-FS!I32) + (FS!J40-FS!I40))</f>
        <v/>
      </c>
      <c r="K10" s="83">
        <f>FS!K71 - (-(FS!K31-FS!J31) - (FS!K32-FS!J32) + (FS!K40-FS!J40))</f>
        <v/>
      </c>
      <c r="L10" s="83">
        <f>FS!L71 - (-(FS!L31-FS!K31) - (FS!L32-FS!K32) + (FS!L40-FS!K40))</f>
        <v/>
      </c>
      <c r="M10" s="83">
        <f>FS!M71 - (-(FS!M31-FS!L31) - (FS!M32-FS!L32) + (FS!M40-FS!L40))</f>
        <v/>
      </c>
      <c r="N10" s="83">
        <f>FS!N71 - (-(FS!N31-FS!M31) - (FS!N32-FS!M32) + (FS!N40-FS!M40))</f>
        <v/>
      </c>
      <c r="O10" s="83">
        <f>FS!O71 - (-(FS!O31-FS!N31) - (FS!O32-FS!N32) + (FS!O40-FS!N40))</f>
        <v/>
      </c>
      <c r="P10" s="83">
        <f>FS!P71 - (-(FS!P31-FS!O31) - (FS!P32-FS!O32) + (FS!P40-FS!O40))</f>
        <v/>
      </c>
      <c r="Q10" s="83">
        <f>FS!Q71 - (-(FS!Q31-FS!P31) - (FS!Q32-FS!P32) + (FS!Q40-FS!P40))</f>
        <v/>
      </c>
      <c r="R10" s="83">
        <f>FS!R71 - (-(FS!R31-FS!Q31) - (FS!R32-FS!Q32) + (FS!R40-FS!Q40))</f>
        <v/>
      </c>
    </row>
    <row r="11">
      <c r="A11" s="8" t="inlineStr">
        <is>
          <t>CapEx tie: CF Capex - Assumption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83">
        <f>FS!K73 - FS!$B$95</f>
        <v/>
      </c>
      <c r="L11" s="83">
        <f>FS!L73 - FS!$B$95</f>
        <v/>
      </c>
      <c r="M11" s="83">
        <f>FS!M73 - FS!$B$95</f>
        <v/>
      </c>
      <c r="N11" s="83">
        <f>FS!N73 - FS!$B$95</f>
        <v/>
      </c>
      <c r="O11" s="83">
        <f>FS!O73 - FS!$B$95</f>
        <v/>
      </c>
      <c r="P11" s="83">
        <f>FS!P73 - FS!$B$95</f>
        <v/>
      </c>
      <c r="Q11" s="83">
        <f>FS!Q73 - FS!$B$95</f>
        <v/>
      </c>
      <c r="R11" s="83">
        <f>FS!R73 - FS!$B$95</f>
        <v/>
      </c>
    </row>
    <row r="12">
      <c r="A12" s="8" t="inlineStr">
        <is>
          <t>Buyback tie: CF Buyback - Assumption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83">
        <f>FS!K76 - FS!$B$96</f>
        <v/>
      </c>
      <c r="L12" s="83">
        <f>FS!L76 - FS!$B$96</f>
        <v/>
      </c>
      <c r="M12" s="83">
        <f>FS!M76 - FS!$B$96</f>
        <v/>
      </c>
      <c r="N12" s="83">
        <f>FS!N76 - FS!$B$96</f>
        <v/>
      </c>
      <c r="O12" s="83">
        <f>FS!O76 - FS!$B$96</f>
        <v/>
      </c>
      <c r="P12" s="83">
        <f>FS!P76 - FS!$B$96</f>
        <v/>
      </c>
      <c r="Q12" s="83">
        <f>FS!Q76 - FS!$B$96</f>
        <v/>
      </c>
      <c r="R12" s="83">
        <f>FS!R76 - FS!$B$96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8" t="inlineStr">
        <is>
          <t>Sign convention reminder: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73" t="inlineStr">
        <is>
          <t xml:space="preserve">  CFO ΔAR (asset increase) = NEGATIVE (use of cash)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73" t="inlineStr">
        <is>
          <t xml:space="preserve">  CFO ΔAP (liability increase) = POSITIVE (source of cash)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73" t="inlineStr">
        <is>
          <t xml:space="preserve">  CFI Capex = NEGATIVE outflow (stored as positive in row 14, sign on FCF formula)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73" t="inlineStr">
        <is>
          <t xml:space="preserve">  CFF Dividend / Buyback stored as POSITIVE (outflow); FCF = -Div - Buyback + DebtIss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73" t="inlineStr">
        <is>
          <t xml:space="preserve">  Cash tie: BS Cash[N] = BS Cash[N-1] + CF (OCF + ICF + FCF)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73" t="inlineStr">
        <is>
          <t xml:space="preserve">  RE roll: BS RE[N] = BS RE[N-1] + PL NI[N] - CF Div[N] - CF Buyback[N]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2026-09-17T02:20:29Z</dcterms:created>
  <dcterms:modified xmlns:dcterms="http://purl.org/dc/terms/" xmlns:xsi="http://www.w3.org/2001/XMLSchema-instance" xsi:type="dcterms:W3CDTF">2026-09-17T02:22:45Z</dcterms:modified>
</cp:coreProperties>
</file>