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wenjun/Downloads/"/>
    </mc:Choice>
  </mc:AlternateContent>
  <xr:revisionPtr revIDLastSave="0" documentId="13_ncr:1_{08F0F98D-190A-B941-94D9-F29ED0894979}" xr6:coauthVersionLast="47" xr6:coauthVersionMax="47" xr10:uidLastSave="{00000000-0000-0000-0000-000000000000}"/>
  <bookViews>
    <workbookView xWindow="6460" yWindow="600" windowWidth="37320" windowHeight="21000" activeTab="5" xr2:uid="{00000000-000D-0000-FFFF-FFFF00000000}"/>
  </bookViews>
  <sheets>
    <sheet name="Drivers" sheetId="1" r:id="rId1"/>
    <sheet name="FS" sheetId="2" r:id="rId2"/>
    <sheet name="Valuation" sheetId="3" r:id="rId3"/>
    <sheet name="Industry" sheetId="4" r:id="rId4"/>
    <sheet name="Comp" sheetId="5" r:id="rId5"/>
    <sheet name="Summary" sheetId="6" r:id="rId6"/>
    <sheet name="Cycle" sheetId="9" r:id="rId7"/>
    <sheet name="Checks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6" l="1"/>
  <c r="Z4" i="2"/>
  <c r="B15" i="6"/>
  <c r="B13" i="6"/>
  <c r="K8" i="2"/>
  <c r="L8" i="2"/>
  <c r="J8" i="2"/>
  <c r="D5" i="6"/>
  <c r="D4" i="6"/>
  <c r="B8" i="6"/>
  <c r="B7" i="6"/>
  <c r="B5" i="6"/>
  <c r="B4" i="6"/>
  <c r="C4" i="6"/>
  <c r="C14" i="6"/>
  <c r="C15" i="6"/>
  <c r="C13" i="6"/>
  <c r="C6" i="1"/>
  <c r="D6" i="1"/>
  <c r="E6" i="1"/>
  <c r="F6" i="1"/>
  <c r="G6" i="1"/>
  <c r="H6" i="1"/>
  <c r="I6" i="1"/>
  <c r="B8" i="1"/>
  <c r="C8" i="1"/>
  <c r="D8" i="1"/>
  <c r="E8" i="1"/>
  <c r="F8" i="1"/>
  <c r="G8" i="1"/>
  <c r="H8" i="1"/>
  <c r="I8" i="1"/>
  <c r="I9" i="10"/>
  <c r="H9" i="10"/>
  <c r="G9" i="10"/>
  <c r="F9" i="10"/>
  <c r="E9" i="10"/>
  <c r="D9" i="10"/>
  <c r="C9" i="10"/>
  <c r="B3" i="10"/>
  <c r="B98" i="9"/>
  <c r="D98" i="9" s="1"/>
  <c r="B97" i="9"/>
  <c r="D97" i="9" s="1"/>
  <c r="D96" i="9"/>
  <c r="C96" i="9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Z8" i="4"/>
  <c r="Y8" i="4"/>
  <c r="X8" i="4"/>
  <c r="W8" i="4"/>
  <c r="V8" i="4"/>
  <c r="U8" i="4"/>
  <c r="T8" i="4"/>
  <c r="S8" i="4"/>
  <c r="R8" i="4"/>
  <c r="Q8" i="4"/>
  <c r="P8" i="4"/>
  <c r="O8" i="4"/>
  <c r="N8" i="4"/>
  <c r="Z6" i="4"/>
  <c r="Y6" i="4"/>
  <c r="X6" i="4"/>
  <c r="W6" i="4"/>
  <c r="V6" i="4"/>
  <c r="U6" i="4"/>
  <c r="T6" i="4"/>
  <c r="S6" i="4"/>
  <c r="R6" i="4"/>
  <c r="Q6" i="4"/>
  <c r="P6" i="4"/>
  <c r="O6" i="4"/>
  <c r="N6" i="4"/>
  <c r="B55" i="3"/>
  <c r="B48" i="3"/>
  <c r="B47" i="3"/>
  <c r="B46" i="3"/>
  <c r="B42" i="3"/>
  <c r="B35" i="3"/>
  <c r="B34" i="3"/>
  <c r="B33" i="3"/>
  <c r="B29" i="3"/>
  <c r="B22" i="3"/>
  <c r="B26" i="3" s="1"/>
  <c r="B11" i="3"/>
  <c r="C15" i="3" s="1"/>
  <c r="B10" i="3"/>
  <c r="B81" i="2"/>
  <c r="N76" i="2" s="1"/>
  <c r="N12" i="10" s="1"/>
  <c r="B80" i="2"/>
  <c r="L73" i="2" s="1"/>
  <c r="X77" i="2"/>
  <c r="W77" i="2"/>
  <c r="T77" i="2"/>
  <c r="I77" i="2"/>
  <c r="V77" i="2" s="1"/>
  <c r="H77" i="2"/>
  <c r="G77" i="2"/>
  <c r="F77" i="2"/>
  <c r="E77" i="2"/>
  <c r="D77" i="2"/>
  <c r="C77" i="2"/>
  <c r="U76" i="2"/>
  <c r="T76" i="2"/>
  <c r="Q76" i="2"/>
  <c r="Q12" i="10" s="1"/>
  <c r="P76" i="2"/>
  <c r="P12" i="10" s="1"/>
  <c r="O76" i="2"/>
  <c r="O12" i="10" s="1"/>
  <c r="L76" i="2"/>
  <c r="L12" i="10" s="1"/>
  <c r="J76" i="2"/>
  <c r="U75" i="2"/>
  <c r="T75" i="2"/>
  <c r="X73" i="2"/>
  <c r="U73" i="2"/>
  <c r="T73" i="2"/>
  <c r="Q73" i="2"/>
  <c r="Q11" i="10" s="1"/>
  <c r="P73" i="2"/>
  <c r="P11" i="10" s="1"/>
  <c r="O73" i="2"/>
  <c r="O11" i="10" s="1"/>
  <c r="N73" i="2"/>
  <c r="N11" i="10" s="1"/>
  <c r="M73" i="2"/>
  <c r="M11" i="10" s="1"/>
  <c r="K73" i="2"/>
  <c r="J73" i="2"/>
  <c r="I71" i="2"/>
  <c r="I10" i="10" s="1"/>
  <c r="H71" i="2"/>
  <c r="H10" i="10" s="1"/>
  <c r="G71" i="2"/>
  <c r="G10" i="10" s="1"/>
  <c r="F71" i="2"/>
  <c r="E71" i="2"/>
  <c r="E10" i="10" s="1"/>
  <c r="D71" i="2"/>
  <c r="D10" i="10" s="1"/>
  <c r="C71" i="2"/>
  <c r="U70" i="2"/>
  <c r="T70" i="2"/>
  <c r="J70" i="2"/>
  <c r="T69" i="2"/>
  <c r="I69" i="2"/>
  <c r="I8" i="10" s="1"/>
  <c r="H69" i="2"/>
  <c r="H8" i="10" s="1"/>
  <c r="G69" i="2"/>
  <c r="G8" i="10" s="1"/>
  <c r="F69" i="2"/>
  <c r="F8" i="10" s="1"/>
  <c r="E69" i="2"/>
  <c r="E8" i="10" s="1"/>
  <c r="D69" i="2"/>
  <c r="D8" i="10" s="1"/>
  <c r="C69" i="2"/>
  <c r="C8" i="10" s="1"/>
  <c r="B69" i="2"/>
  <c r="B8" i="10" s="1"/>
  <c r="U67" i="2"/>
  <c r="T67" i="2"/>
  <c r="I67" i="2"/>
  <c r="H67" i="2"/>
  <c r="F67" i="2"/>
  <c r="D67" i="2"/>
  <c r="C67" i="2"/>
  <c r="B67" i="2"/>
  <c r="H66" i="2"/>
  <c r="H7" i="10" s="1"/>
  <c r="F66" i="2"/>
  <c r="F7" i="10" s="1"/>
  <c r="D66" i="2"/>
  <c r="D7" i="10" s="1"/>
  <c r="C66" i="2"/>
  <c r="C7" i="10" s="1"/>
  <c r="B66" i="2"/>
  <c r="C65" i="2"/>
  <c r="Q64" i="2"/>
  <c r="X64" i="2" s="1"/>
  <c r="P64" i="2"/>
  <c r="O64" i="2"/>
  <c r="N64" i="2"/>
  <c r="I64" i="2"/>
  <c r="G64" i="2"/>
  <c r="E64" i="2"/>
  <c r="C64" i="2"/>
  <c r="I63" i="2"/>
  <c r="G63" i="2"/>
  <c r="G67" i="2" s="1"/>
  <c r="E63" i="2"/>
  <c r="E67" i="2" s="1"/>
  <c r="C63" i="2"/>
  <c r="U57" i="2"/>
  <c r="Q57" i="2"/>
  <c r="X57" i="2" s="1"/>
  <c r="P57" i="2"/>
  <c r="O57" i="2"/>
  <c r="N57" i="2"/>
  <c r="M57" i="2"/>
  <c r="L57" i="2"/>
  <c r="V57" i="2" s="1"/>
  <c r="K57" i="2"/>
  <c r="J57" i="2"/>
  <c r="B57" i="2"/>
  <c r="X56" i="2"/>
  <c r="V56" i="2"/>
  <c r="Q56" i="2"/>
  <c r="P56" i="2"/>
  <c r="O56" i="2"/>
  <c r="N56" i="2"/>
  <c r="M56" i="2"/>
  <c r="L56" i="2"/>
  <c r="K56" i="2"/>
  <c r="J56" i="2"/>
  <c r="I56" i="2"/>
  <c r="H56" i="2"/>
  <c r="U56" i="2" s="1"/>
  <c r="B56" i="2"/>
  <c r="X55" i="2"/>
  <c r="V55" i="2"/>
  <c r="U55" i="2"/>
  <c r="Q55" i="2"/>
  <c r="P55" i="2"/>
  <c r="O55" i="2"/>
  <c r="N55" i="2"/>
  <c r="M55" i="2"/>
  <c r="L55" i="2"/>
  <c r="K55" i="2"/>
  <c r="K31" i="2" s="1"/>
  <c r="J55" i="2"/>
  <c r="I55" i="2"/>
  <c r="H55" i="2"/>
  <c r="G55" i="2"/>
  <c r="F55" i="2"/>
  <c r="E55" i="2"/>
  <c r="D55" i="2"/>
  <c r="T55" i="2" s="1"/>
  <c r="C55" i="2"/>
  <c r="B55" i="2"/>
  <c r="D50" i="2"/>
  <c r="D6" i="10" s="1"/>
  <c r="C50" i="2"/>
  <c r="C6" i="10" s="1"/>
  <c r="U48" i="2"/>
  <c r="T48" i="2"/>
  <c r="I48" i="2"/>
  <c r="H48" i="2"/>
  <c r="G48" i="2"/>
  <c r="F48" i="2"/>
  <c r="E48" i="2"/>
  <c r="D48" i="2"/>
  <c r="C48" i="2"/>
  <c r="B48" i="2"/>
  <c r="U47" i="2"/>
  <c r="T47" i="2"/>
  <c r="K47" i="2"/>
  <c r="L47" i="2" s="1"/>
  <c r="M47" i="2" s="1"/>
  <c r="N47" i="2" s="1"/>
  <c r="O47" i="2" s="1"/>
  <c r="P47" i="2" s="1"/>
  <c r="J47" i="2"/>
  <c r="U46" i="2"/>
  <c r="T46" i="2"/>
  <c r="U45" i="2"/>
  <c r="T45" i="2"/>
  <c r="U43" i="2"/>
  <c r="T43" i="2"/>
  <c r="I42" i="2"/>
  <c r="H42" i="2"/>
  <c r="U42" i="2" s="1"/>
  <c r="G42" i="2"/>
  <c r="F42" i="2"/>
  <c r="E42" i="2"/>
  <c r="D42" i="2"/>
  <c r="T42" i="2" s="1"/>
  <c r="C42" i="2"/>
  <c r="B42" i="2"/>
  <c r="U41" i="2"/>
  <c r="T41" i="2"/>
  <c r="J41" i="2"/>
  <c r="U40" i="2"/>
  <c r="T40" i="2"/>
  <c r="U38" i="2"/>
  <c r="T38" i="2"/>
  <c r="I37" i="2"/>
  <c r="J37" i="2" s="1"/>
  <c r="K37" i="2" s="1"/>
  <c r="L37" i="2" s="1"/>
  <c r="H37" i="2"/>
  <c r="U37" i="2" s="1"/>
  <c r="E37" i="2"/>
  <c r="B37" i="2"/>
  <c r="U36" i="2"/>
  <c r="T36" i="2"/>
  <c r="U34" i="2"/>
  <c r="T34" i="2"/>
  <c r="I34" i="2"/>
  <c r="H34" i="2"/>
  <c r="G34" i="2"/>
  <c r="F34" i="2"/>
  <c r="E34" i="2"/>
  <c r="D34" i="2"/>
  <c r="C34" i="2"/>
  <c r="B34" i="2"/>
  <c r="U33" i="2"/>
  <c r="T33" i="2"/>
  <c r="J33" i="2"/>
  <c r="K33" i="2" s="1"/>
  <c r="L33" i="2" s="1"/>
  <c r="U32" i="2"/>
  <c r="T32" i="2"/>
  <c r="U31" i="2"/>
  <c r="T31" i="2"/>
  <c r="U30" i="2"/>
  <c r="T30" i="2"/>
  <c r="U23" i="2"/>
  <c r="T23" i="2"/>
  <c r="I23" i="2"/>
  <c r="I22" i="2"/>
  <c r="H22" i="2"/>
  <c r="G22" i="2"/>
  <c r="G24" i="2" s="1"/>
  <c r="F22" i="2"/>
  <c r="F24" i="2" s="1"/>
  <c r="E22" i="2"/>
  <c r="D22" i="2"/>
  <c r="D24" i="2" s="1"/>
  <c r="C22" i="2"/>
  <c r="C24" i="2" s="1"/>
  <c r="B22" i="2"/>
  <c r="U21" i="2"/>
  <c r="T21" i="2"/>
  <c r="U19" i="2"/>
  <c r="T19" i="2"/>
  <c r="I19" i="2"/>
  <c r="H19" i="2"/>
  <c r="G19" i="2"/>
  <c r="F19" i="2"/>
  <c r="E19" i="2"/>
  <c r="D19" i="2"/>
  <c r="C19" i="2"/>
  <c r="B19" i="2"/>
  <c r="U18" i="2"/>
  <c r="T18" i="2"/>
  <c r="U16" i="2"/>
  <c r="I16" i="2"/>
  <c r="H16" i="2"/>
  <c r="G16" i="2"/>
  <c r="F16" i="2"/>
  <c r="E16" i="2"/>
  <c r="D16" i="2"/>
  <c r="C16" i="2"/>
  <c r="B16" i="2"/>
  <c r="T16" i="2" s="1"/>
  <c r="U15" i="2"/>
  <c r="T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U14" i="2"/>
  <c r="T14" i="2"/>
  <c r="U13" i="2"/>
  <c r="T13" i="2"/>
  <c r="I13" i="2"/>
  <c r="H13" i="2"/>
  <c r="G13" i="2"/>
  <c r="F13" i="2"/>
  <c r="E13" i="2"/>
  <c r="D13" i="2"/>
  <c r="C13" i="2"/>
  <c r="B13" i="2"/>
  <c r="U12" i="2"/>
  <c r="T12" i="2"/>
  <c r="I11" i="2"/>
  <c r="H11" i="2"/>
  <c r="G11" i="2"/>
  <c r="F11" i="2"/>
  <c r="E11" i="2"/>
  <c r="U11" i="2" s="1"/>
  <c r="D11" i="2"/>
  <c r="C11" i="2"/>
  <c r="B11" i="2"/>
  <c r="T11" i="2" s="1"/>
  <c r="U10" i="2"/>
  <c r="T10" i="2"/>
  <c r="I10" i="2"/>
  <c r="H10" i="2"/>
  <c r="G10" i="2"/>
  <c r="F10" i="2"/>
  <c r="E10" i="2"/>
  <c r="D10" i="2"/>
  <c r="C10" i="2"/>
  <c r="B10" i="2"/>
  <c r="U9" i="2"/>
  <c r="T9" i="2"/>
  <c r="I8" i="2"/>
  <c r="H8" i="2"/>
  <c r="G8" i="2"/>
  <c r="F8" i="2"/>
  <c r="E8" i="2"/>
  <c r="D8" i="2"/>
  <c r="C8" i="2"/>
  <c r="T8" i="2" s="1"/>
  <c r="B8" i="2"/>
  <c r="U7" i="2"/>
  <c r="T7" i="2"/>
  <c r="I7" i="2"/>
  <c r="H7" i="2"/>
  <c r="G7" i="2"/>
  <c r="F7" i="2"/>
  <c r="E7" i="2"/>
  <c r="D7" i="2"/>
  <c r="C7" i="2"/>
  <c r="B7" i="2"/>
  <c r="U6" i="2"/>
  <c r="T6" i="2"/>
  <c r="I5" i="2"/>
  <c r="I57" i="2" s="1"/>
  <c r="H5" i="2"/>
  <c r="H57" i="2" s="1"/>
  <c r="G5" i="2"/>
  <c r="G57" i="2" s="1"/>
  <c r="F5" i="2"/>
  <c r="E5" i="2"/>
  <c r="E56" i="2" s="1"/>
  <c r="D5" i="2"/>
  <c r="T5" i="2" s="1"/>
  <c r="C5" i="2"/>
  <c r="B5" i="2"/>
  <c r="U4" i="2"/>
  <c r="T4" i="2"/>
  <c r="J4" i="2"/>
  <c r="K4" i="2" s="1"/>
  <c r="X28" i="1"/>
  <c r="W28" i="1"/>
  <c r="I28" i="1"/>
  <c r="V28" i="1" s="1"/>
  <c r="H28" i="1"/>
  <c r="G28" i="1"/>
  <c r="F28" i="1"/>
  <c r="U28" i="1" s="1"/>
  <c r="E28" i="1"/>
  <c r="D28" i="1"/>
  <c r="C28" i="1"/>
  <c r="B28" i="1"/>
  <c r="T28" i="1" s="1"/>
  <c r="X27" i="1"/>
  <c r="W27" i="1"/>
  <c r="V27" i="1"/>
  <c r="U27" i="1"/>
  <c r="T27" i="1"/>
  <c r="X26" i="1"/>
  <c r="W26" i="1"/>
  <c r="V26" i="1"/>
  <c r="U26" i="1"/>
  <c r="T26" i="1"/>
  <c r="X25" i="1"/>
  <c r="W25" i="1"/>
  <c r="V25" i="1"/>
  <c r="U25" i="1"/>
  <c r="T25" i="1"/>
  <c r="X24" i="1"/>
  <c r="W24" i="1"/>
  <c r="V24" i="1"/>
  <c r="U24" i="1"/>
  <c r="T24" i="1"/>
  <c r="X23" i="1"/>
  <c r="W23" i="1"/>
  <c r="V23" i="1"/>
  <c r="U23" i="1"/>
  <c r="T23" i="1"/>
  <c r="X22" i="1"/>
  <c r="W22" i="1"/>
  <c r="V22" i="1"/>
  <c r="U22" i="1"/>
  <c r="T22" i="1"/>
  <c r="X18" i="1"/>
  <c r="W18" i="1"/>
  <c r="U18" i="1"/>
  <c r="T18" i="1"/>
  <c r="I18" i="1"/>
  <c r="V18" i="1" s="1"/>
  <c r="H18" i="1"/>
  <c r="G18" i="1"/>
  <c r="F18" i="1"/>
  <c r="E18" i="1"/>
  <c r="D18" i="1"/>
  <c r="C18" i="1"/>
  <c r="B18" i="1"/>
  <c r="X17" i="1"/>
  <c r="W17" i="1"/>
  <c r="V17" i="1"/>
  <c r="U17" i="1"/>
  <c r="T17" i="1"/>
  <c r="X14" i="1"/>
  <c r="W14" i="1"/>
  <c r="I14" i="1"/>
  <c r="V14" i="1" s="1"/>
  <c r="H14" i="1"/>
  <c r="G14" i="1"/>
  <c r="F14" i="1"/>
  <c r="E14" i="1"/>
  <c r="U14" i="1" s="1"/>
  <c r="D14" i="1"/>
  <c r="C14" i="1"/>
  <c r="T14" i="1" s="1"/>
  <c r="B14" i="1"/>
  <c r="X13" i="1"/>
  <c r="W13" i="1"/>
  <c r="V13" i="1"/>
  <c r="U13" i="1"/>
  <c r="T13" i="1"/>
  <c r="C16" i="6" l="1"/>
  <c r="B16" i="6"/>
  <c r="B18" i="6" s="1"/>
  <c r="B6" i="6"/>
  <c r="C17" i="3"/>
  <c r="M33" i="2"/>
  <c r="N33" i="2" s="1"/>
  <c r="O33" i="2" s="1"/>
  <c r="P33" i="2" s="1"/>
  <c r="V33" i="2"/>
  <c r="Q47" i="2"/>
  <c r="X47" i="2" s="1"/>
  <c r="W47" i="2"/>
  <c r="M37" i="2"/>
  <c r="N37" i="2" s="1"/>
  <c r="O37" i="2" s="1"/>
  <c r="P37" i="2" s="1"/>
  <c r="V37" i="2"/>
  <c r="L4" i="2"/>
  <c r="K9" i="2"/>
  <c r="H24" i="2"/>
  <c r="K11" i="10"/>
  <c r="K64" i="2"/>
  <c r="I24" i="2"/>
  <c r="J31" i="2"/>
  <c r="C56" i="2"/>
  <c r="C57" i="2"/>
  <c r="U8" i="2"/>
  <c r="C37" i="2"/>
  <c r="D56" i="2"/>
  <c r="T56" i="2" s="1"/>
  <c r="J42" i="2"/>
  <c r="K42" i="2" s="1"/>
  <c r="L42" i="2" s="1"/>
  <c r="G56" i="2"/>
  <c r="T66" i="2"/>
  <c r="W76" i="2"/>
  <c r="L11" i="10"/>
  <c r="L64" i="2"/>
  <c r="U5" i="2"/>
  <c r="F37" i="2"/>
  <c r="W56" i="2"/>
  <c r="W57" i="2"/>
  <c r="G37" i="2"/>
  <c r="F50" i="2"/>
  <c r="F6" i="10" s="1"/>
  <c r="B50" i="2"/>
  <c r="B6" i="10" s="1"/>
  <c r="C16" i="3"/>
  <c r="X76" i="2"/>
  <c r="T24" i="2"/>
  <c r="T22" i="2"/>
  <c r="G50" i="2"/>
  <c r="G6" i="10" s="1"/>
  <c r="D57" i="2"/>
  <c r="T57" i="2" s="1"/>
  <c r="I65" i="2"/>
  <c r="F56" i="2"/>
  <c r="F57" i="2"/>
  <c r="J9" i="2"/>
  <c r="E50" i="2"/>
  <c r="E6" i="10" s="1"/>
  <c r="E57" i="2"/>
  <c r="T71" i="2"/>
  <c r="C10" i="10"/>
  <c r="V73" i="2"/>
  <c r="J12" i="10"/>
  <c r="V76" i="2"/>
  <c r="J21" i="2"/>
  <c r="K21" i="2" s="1"/>
  <c r="L21" i="2" s="1"/>
  <c r="C13" i="3"/>
  <c r="W55" i="2"/>
  <c r="U24" i="2"/>
  <c r="U22" i="2"/>
  <c r="B24" i="2"/>
  <c r="H50" i="2"/>
  <c r="H6" i="10" s="1"/>
  <c r="U69" i="2"/>
  <c r="W73" i="2"/>
  <c r="V4" i="2"/>
  <c r="I50" i="2"/>
  <c r="I6" i="10" s="1"/>
  <c r="U77" i="2"/>
  <c r="E24" i="2"/>
  <c r="K41" i="2"/>
  <c r="V47" i="2"/>
  <c r="I66" i="2"/>
  <c r="I7" i="10" s="1"/>
  <c r="M64" i="2"/>
  <c r="W64" i="2" s="1"/>
  <c r="U71" i="2"/>
  <c r="J11" i="10"/>
  <c r="J64" i="2"/>
  <c r="Y73" i="2"/>
  <c r="C14" i="3"/>
  <c r="C19" i="3"/>
  <c r="C97" i="9"/>
  <c r="D37" i="2"/>
  <c r="T37" i="2" s="1"/>
  <c r="K76" i="2"/>
  <c r="K12" i="10" s="1"/>
  <c r="F10" i="10"/>
  <c r="E65" i="2"/>
  <c r="E66" i="2" s="1"/>
  <c r="M76" i="2"/>
  <c r="M12" i="10" s="1"/>
  <c r="C98" i="9"/>
  <c r="G65" i="2"/>
  <c r="G66" i="2" s="1"/>
  <c r="G7" i="10" s="1"/>
  <c r="Z9" i="2" l="1"/>
  <c r="C5" i="6"/>
  <c r="J6" i="2"/>
  <c r="J12" i="2"/>
  <c r="Z12" i="2" s="1"/>
  <c r="J10" i="2"/>
  <c r="V9" i="2"/>
  <c r="Q37" i="2"/>
  <c r="X37" i="2" s="1"/>
  <c r="W37" i="2"/>
  <c r="E7" i="10"/>
  <c r="U66" i="2"/>
  <c r="L41" i="2"/>
  <c r="M21" i="2"/>
  <c r="N21" i="2" s="1"/>
  <c r="O21" i="2" s="1"/>
  <c r="P21" i="2" s="1"/>
  <c r="V21" i="2"/>
  <c r="Y64" i="2"/>
  <c r="V64" i="2"/>
  <c r="J36" i="2"/>
  <c r="K6" i="2"/>
  <c r="K12" i="2"/>
  <c r="K10" i="2"/>
  <c r="V42" i="2"/>
  <c r="M42" i="2"/>
  <c r="N42" i="2" s="1"/>
  <c r="O42" i="2" s="1"/>
  <c r="P42" i="2" s="1"/>
  <c r="L9" i="2"/>
  <c r="V10" i="2" s="1"/>
  <c r="L31" i="2"/>
  <c r="V8" i="2"/>
  <c r="M4" i="2"/>
  <c r="W33" i="2"/>
  <c r="Q33" i="2"/>
  <c r="X33" i="2" s="1"/>
  <c r="J14" i="2" l="1"/>
  <c r="J16" i="2"/>
  <c r="J13" i="2"/>
  <c r="W21" i="2"/>
  <c r="Q21" i="2"/>
  <c r="X21" i="2" s="1"/>
  <c r="K7" i="2"/>
  <c r="K5" i="2"/>
  <c r="M8" i="2"/>
  <c r="M9" i="2"/>
  <c r="N4" i="2"/>
  <c r="M31" i="2"/>
  <c r="F4" i="6"/>
  <c r="M41" i="2"/>
  <c r="V41" i="2"/>
  <c r="K36" i="2"/>
  <c r="K70" i="2"/>
  <c r="J7" i="2"/>
  <c r="J5" i="2"/>
  <c r="Q42" i="2"/>
  <c r="X42" i="2" s="1"/>
  <c r="W42" i="2"/>
  <c r="K13" i="2"/>
  <c r="K16" i="2"/>
  <c r="K14" i="2"/>
  <c r="K18" i="2" s="1"/>
  <c r="V31" i="2"/>
  <c r="V11" i="2"/>
  <c r="L6" i="2"/>
  <c r="V7" i="2" s="1"/>
  <c r="L12" i="2"/>
  <c r="V13" i="2" s="1"/>
  <c r="L10" i="2"/>
  <c r="J18" i="2" l="1"/>
  <c r="Z18" i="2" s="1"/>
  <c r="V6" i="2"/>
  <c r="V12" i="2"/>
  <c r="N8" i="2"/>
  <c r="N9" i="2"/>
  <c r="O4" i="2"/>
  <c r="N31" i="2"/>
  <c r="J69" i="2"/>
  <c r="J8" i="10" s="1"/>
  <c r="J22" i="2"/>
  <c r="Z22" i="2" s="1"/>
  <c r="J19" i="2"/>
  <c r="J32" i="2"/>
  <c r="J40" i="2"/>
  <c r="J43" i="2" s="1"/>
  <c r="L70" i="2"/>
  <c r="L36" i="2"/>
  <c r="M6" i="2"/>
  <c r="M11" i="2"/>
  <c r="M12" i="2"/>
  <c r="M10" i="2"/>
  <c r="Z10" i="2"/>
  <c r="V16" i="2"/>
  <c r="K19" i="2"/>
  <c r="K69" i="2"/>
  <c r="K8" i="10" s="1"/>
  <c r="K22" i="2"/>
  <c r="N41" i="2"/>
  <c r="L14" i="2"/>
  <c r="V15" i="2" s="1"/>
  <c r="L16" i="2"/>
  <c r="L13" i="2"/>
  <c r="L7" i="2"/>
  <c r="L5" i="2"/>
  <c r="K32" i="2"/>
  <c r="K40" i="2"/>
  <c r="K43" i="2" s="1"/>
  <c r="M70" i="2" l="1"/>
  <c r="M36" i="2"/>
  <c r="V36" i="2"/>
  <c r="C6" i="6"/>
  <c r="F6" i="6" s="1"/>
  <c r="F5" i="6"/>
  <c r="J23" i="2"/>
  <c r="J24" i="2"/>
  <c r="L32" i="2"/>
  <c r="L40" i="2"/>
  <c r="N10" i="2"/>
  <c r="N11" i="2"/>
  <c r="N12" i="2" s="1"/>
  <c r="N6" i="2"/>
  <c r="J71" i="2"/>
  <c r="J63" i="2" s="1"/>
  <c r="M16" i="2"/>
  <c r="M13" i="2"/>
  <c r="M14" i="2"/>
  <c r="V14" i="2"/>
  <c r="K71" i="2"/>
  <c r="K10" i="10" s="1"/>
  <c r="V70" i="2"/>
  <c r="V5" i="2"/>
  <c r="O41" i="2"/>
  <c r="O31" i="2"/>
  <c r="O9" i="2"/>
  <c r="O8" i="2"/>
  <c r="P4" i="2"/>
  <c r="L18" i="2"/>
  <c r="C7" i="6" s="1"/>
  <c r="K23" i="2"/>
  <c r="K75" i="2" s="1"/>
  <c r="K65" i="2" s="1"/>
  <c r="W4" i="2"/>
  <c r="M7" i="2"/>
  <c r="M5" i="2"/>
  <c r="N13" i="2" l="1"/>
  <c r="N16" i="2"/>
  <c r="N14" i="2"/>
  <c r="N18" i="2" s="1"/>
  <c r="M32" i="2"/>
  <c r="M40" i="2"/>
  <c r="M43" i="2" s="1"/>
  <c r="N7" i="2"/>
  <c r="N5" i="2"/>
  <c r="J75" i="2"/>
  <c r="J45" i="2"/>
  <c r="M18" i="2"/>
  <c r="K24" i="2"/>
  <c r="J67" i="2"/>
  <c r="P8" i="2"/>
  <c r="W8" i="2" s="1"/>
  <c r="P9" i="2"/>
  <c r="Q4" i="2"/>
  <c r="P31" i="2"/>
  <c r="V32" i="2"/>
  <c r="L71" i="2"/>
  <c r="L10" i="10" s="1"/>
  <c r="L69" i="2"/>
  <c r="L8" i="10" s="1"/>
  <c r="L22" i="2"/>
  <c r="C8" i="6" s="1"/>
  <c r="L19" i="2"/>
  <c r="V18" i="2"/>
  <c r="V19" i="2"/>
  <c r="B43" i="3"/>
  <c r="J10" i="10"/>
  <c r="N70" i="2"/>
  <c r="N36" i="2"/>
  <c r="V40" i="2"/>
  <c r="L43" i="2"/>
  <c r="V43" i="2" s="1"/>
  <c r="P41" i="2"/>
  <c r="O6" i="2"/>
  <c r="O11" i="2"/>
  <c r="O12" i="2" s="1"/>
  <c r="O10" i="2"/>
  <c r="K63" i="2"/>
  <c r="V71" i="2" l="1"/>
  <c r="O16" i="2"/>
  <c r="O13" i="2"/>
  <c r="O14" i="2"/>
  <c r="O18" i="2" s="1"/>
  <c r="N69" i="2"/>
  <c r="N8" i="10" s="1"/>
  <c r="N19" i="2"/>
  <c r="N22" i="2"/>
  <c r="P11" i="2"/>
  <c r="W11" i="2" s="1"/>
  <c r="P12" i="2"/>
  <c r="W13" i="2" s="1"/>
  <c r="P10" i="2"/>
  <c r="P6" i="2"/>
  <c r="W10" i="2"/>
  <c r="W9" i="2"/>
  <c r="M71" i="2"/>
  <c r="M10" i="10" s="1"/>
  <c r="O70" i="2"/>
  <c r="O36" i="2"/>
  <c r="N40" i="2"/>
  <c r="N43" i="2" s="1"/>
  <c r="N32" i="2"/>
  <c r="X4" i="2"/>
  <c r="Q9" i="2"/>
  <c r="Q31" i="2"/>
  <c r="Q8" i="2"/>
  <c r="X8" i="2" s="1"/>
  <c r="J65" i="2"/>
  <c r="J46" i="2"/>
  <c r="L23" i="2"/>
  <c r="F8" i="6"/>
  <c r="V22" i="2"/>
  <c r="B99" i="9" s="1"/>
  <c r="B30" i="3"/>
  <c r="K66" i="2"/>
  <c r="K67" i="2"/>
  <c r="M69" i="2"/>
  <c r="M63" i="2" s="1"/>
  <c r="M22" i="2"/>
  <c r="M19" i="2"/>
  <c r="J48" i="2"/>
  <c r="K45" i="2"/>
  <c r="L63" i="2"/>
  <c r="V69" i="2"/>
  <c r="O7" i="2"/>
  <c r="O5" i="2"/>
  <c r="W41" i="2"/>
  <c r="Q41" i="2"/>
  <c r="F7" i="6"/>
  <c r="W31" i="2"/>
  <c r="M8" i="10" l="1"/>
  <c r="W12" i="2"/>
  <c r="O69" i="2"/>
  <c r="O22" i="2"/>
  <c r="O19" i="2"/>
  <c r="X41" i="2"/>
  <c r="X31" i="2"/>
  <c r="L45" i="2"/>
  <c r="K48" i="2"/>
  <c r="Q10" i="2"/>
  <c r="Q12" i="2"/>
  <c r="X10" i="2"/>
  <c r="X9" i="2"/>
  <c r="Q6" i="2"/>
  <c r="Q11" i="2"/>
  <c r="X11" i="2" s="1"/>
  <c r="D6" i="6"/>
  <c r="D99" i="9"/>
  <c r="C99" i="9"/>
  <c r="N71" i="2"/>
  <c r="P7" i="2"/>
  <c r="W6" i="2"/>
  <c r="P5" i="2"/>
  <c r="M23" i="2"/>
  <c r="M24" i="2"/>
  <c r="W16" i="2"/>
  <c r="L75" i="2"/>
  <c r="V23" i="2"/>
  <c r="V24" i="2"/>
  <c r="P36" i="2"/>
  <c r="P70" i="2"/>
  <c r="P16" i="2"/>
  <c r="P14" i="2"/>
  <c r="P18" i="2" s="1"/>
  <c r="P13" i="2"/>
  <c r="M67" i="2"/>
  <c r="J9" i="10"/>
  <c r="K46" i="2"/>
  <c r="W7" i="2"/>
  <c r="L24" i="2"/>
  <c r="O32" i="2"/>
  <c r="O40" i="2"/>
  <c r="O43" i="2" s="1"/>
  <c r="B4" i="3"/>
  <c r="B13" i="3" s="1"/>
  <c r="L67" i="2"/>
  <c r="V63" i="2"/>
  <c r="V67" i="2" s="1"/>
  <c r="J66" i="2"/>
  <c r="J30" i="2"/>
  <c r="N23" i="2"/>
  <c r="N75" i="2" s="1"/>
  <c r="W5" i="2"/>
  <c r="D7" i="6" l="1"/>
  <c r="W18" i="2"/>
  <c r="W19" i="2"/>
  <c r="B44" i="3"/>
  <c r="B45" i="3" s="1"/>
  <c r="B60" i="9" s="1"/>
  <c r="N24" i="2"/>
  <c r="N10" i="10"/>
  <c r="W70" i="2"/>
  <c r="X13" i="2"/>
  <c r="Q13" i="2"/>
  <c r="Q14" i="2"/>
  <c r="X12" i="2"/>
  <c r="Q16" i="2"/>
  <c r="X16" i="2" s="1"/>
  <c r="Q36" i="2"/>
  <c r="X36" i="2" s="1"/>
  <c r="Q70" i="2"/>
  <c r="W36" i="2"/>
  <c r="O71" i="2"/>
  <c r="O10" i="10" s="1"/>
  <c r="J7" i="10"/>
  <c r="J34" i="2"/>
  <c r="K30" i="2"/>
  <c r="K9" i="10"/>
  <c r="L46" i="2"/>
  <c r="L65" i="2"/>
  <c r="V75" i="2"/>
  <c r="X6" i="2"/>
  <c r="X7" i="2"/>
  <c r="Q7" i="2"/>
  <c r="Q5" i="2"/>
  <c r="M45" i="2"/>
  <c r="L48" i="2"/>
  <c r="V45" i="2"/>
  <c r="P69" i="2"/>
  <c r="P19" i="2"/>
  <c r="P22" i="2"/>
  <c r="D8" i="6" s="1"/>
  <c r="P8" i="10"/>
  <c r="W15" i="2"/>
  <c r="W14" i="2"/>
  <c r="O8" i="10"/>
  <c r="N63" i="2"/>
  <c r="O23" i="2"/>
  <c r="O75" i="2" s="1"/>
  <c r="O65" i="2" s="1"/>
  <c r="M75" i="2"/>
  <c r="M65" i="2" s="1"/>
  <c r="M66" i="2" s="1"/>
  <c r="N65" i="2"/>
  <c r="B14" i="3"/>
  <c r="D13" i="3"/>
  <c r="P32" i="2"/>
  <c r="P40" i="2"/>
  <c r="B49" i="3" l="1"/>
  <c r="B58" i="3" s="1"/>
  <c r="B50" i="3"/>
  <c r="B51" i="3"/>
  <c r="C58" i="3" s="1"/>
  <c r="O24" i="2"/>
  <c r="O63" i="2"/>
  <c r="Q32" i="2"/>
  <c r="X5" i="2"/>
  <c r="Q40" i="2"/>
  <c r="X14" i="2"/>
  <c r="X15" i="2"/>
  <c r="Q18" i="2"/>
  <c r="P23" i="2"/>
  <c r="P24" i="2"/>
  <c r="B31" i="3"/>
  <c r="B32" i="3" s="1"/>
  <c r="W22" i="2"/>
  <c r="P43" i="2"/>
  <c r="W43" i="2" s="1"/>
  <c r="W40" i="2"/>
  <c r="J38" i="2"/>
  <c r="J50" i="2" s="1"/>
  <c r="J6" i="10" s="1"/>
  <c r="W32" i="2"/>
  <c r="P71" i="2"/>
  <c r="P63" i="2" s="1"/>
  <c r="B15" i="3"/>
  <c r="D14" i="3"/>
  <c r="E68" i="9"/>
  <c r="E67" i="9"/>
  <c r="E66" i="9"/>
  <c r="E65" i="9"/>
  <c r="E70" i="9"/>
  <c r="E69" i="9"/>
  <c r="E64" i="9"/>
  <c r="E63" i="9"/>
  <c r="V65" i="2"/>
  <c r="L66" i="2"/>
  <c r="V48" i="2"/>
  <c r="X70" i="2"/>
  <c r="W69" i="2"/>
  <c r="L9" i="10"/>
  <c r="M46" i="2"/>
  <c r="V46" i="2"/>
  <c r="M48" i="2"/>
  <c r="N45" i="2"/>
  <c r="N67" i="2"/>
  <c r="N66" i="2"/>
  <c r="K34" i="2"/>
  <c r="L30" i="2"/>
  <c r="K7" i="10"/>
  <c r="P67" i="2" l="1"/>
  <c r="W63" i="2"/>
  <c r="W67" i="2" s="1"/>
  <c r="P75" i="2"/>
  <c r="W23" i="2"/>
  <c r="W24" i="2"/>
  <c r="V66" i="2"/>
  <c r="Q19" i="2"/>
  <c r="X19" i="2"/>
  <c r="Q69" i="2"/>
  <c r="Q22" i="2"/>
  <c r="X18" i="2"/>
  <c r="N46" i="2"/>
  <c r="M9" i="10"/>
  <c r="L7" i="10"/>
  <c r="L34" i="2"/>
  <c r="V30" i="2"/>
  <c r="M30" i="2"/>
  <c r="X32" i="2"/>
  <c r="Q71" i="2"/>
  <c r="B59" i="9"/>
  <c r="B38" i="3"/>
  <c r="B37" i="3"/>
  <c r="B36" i="3"/>
  <c r="B57" i="3" s="1"/>
  <c r="O45" i="2"/>
  <c r="N48" i="2"/>
  <c r="P10" i="10"/>
  <c r="W71" i="2"/>
  <c r="Q43" i="2"/>
  <c r="X43" i="2" s="1"/>
  <c r="X40" i="2"/>
  <c r="O67" i="2"/>
  <c r="O66" i="2"/>
  <c r="B16" i="3"/>
  <c r="D15" i="3"/>
  <c r="K38" i="2"/>
  <c r="K50" i="2" s="1"/>
  <c r="K6" i="10" s="1"/>
  <c r="C57" i="3" l="1"/>
  <c r="L38" i="2"/>
  <c r="V34" i="2"/>
  <c r="C69" i="9"/>
  <c r="C63" i="9"/>
  <c r="C68" i="9"/>
  <c r="C67" i="9"/>
  <c r="C66" i="9"/>
  <c r="C65" i="9"/>
  <c r="C70" i="9"/>
  <c r="C64" i="9"/>
  <c r="Q10" i="10"/>
  <c r="X71" i="2"/>
  <c r="X69" i="2"/>
  <c r="Q63" i="2"/>
  <c r="M7" i="10"/>
  <c r="M34" i="2"/>
  <c r="N30" i="2"/>
  <c r="N9" i="10"/>
  <c r="O46" i="2"/>
  <c r="P65" i="2"/>
  <c r="W75" i="2"/>
  <c r="X22" i="2"/>
  <c r="Q23" i="2"/>
  <c r="P45" i="2"/>
  <c r="O48" i="2"/>
  <c r="B17" i="3"/>
  <c r="D16" i="3"/>
  <c r="Q8" i="10"/>
  <c r="B19" i="3" l="1"/>
  <c r="D19" i="3" s="1"/>
  <c r="D17" i="3"/>
  <c r="O9" i="10"/>
  <c r="P46" i="2"/>
  <c r="N34" i="2"/>
  <c r="O30" i="2"/>
  <c r="N7" i="10"/>
  <c r="M38" i="2"/>
  <c r="M50" i="2" s="1"/>
  <c r="M6" i="10" s="1"/>
  <c r="V38" i="2"/>
  <c r="L50" i="2"/>
  <c r="L6" i="10" s="1"/>
  <c r="W65" i="2"/>
  <c r="P66" i="2"/>
  <c r="P48" i="2"/>
  <c r="W45" i="2"/>
  <c r="Q45" i="2"/>
  <c r="X23" i="2"/>
  <c r="X24" i="2"/>
  <c r="Q75" i="2"/>
  <c r="Q67" i="2"/>
  <c r="X63" i="2"/>
  <c r="X67" i="2" s="1"/>
  <c r="Y63" i="2"/>
  <c r="Y67" i="2" s="1"/>
  <c r="Q24" i="2"/>
  <c r="B21" i="3" l="1"/>
  <c r="B23" i="3" s="1"/>
  <c r="B25" i="3" s="1"/>
  <c r="B56" i="3" s="1"/>
  <c r="C56" i="3" s="1"/>
  <c r="B59" i="3" s="1"/>
  <c r="X45" i="2"/>
  <c r="Q48" i="2"/>
  <c r="Y45" i="2"/>
  <c r="W48" i="2"/>
  <c r="Q65" i="2"/>
  <c r="X75" i="2"/>
  <c r="Y75" i="2"/>
  <c r="O7" i="10"/>
  <c r="O34" i="2"/>
  <c r="P30" i="2"/>
  <c r="N38" i="2"/>
  <c r="N50" i="2" s="1"/>
  <c r="N6" i="10" s="1"/>
  <c r="W66" i="2"/>
  <c r="P9" i="10"/>
  <c r="Q46" i="2"/>
  <c r="W46" i="2"/>
  <c r="Q9" i="10" l="1"/>
  <c r="X46" i="2"/>
  <c r="X65" i="2"/>
  <c r="Q66" i="2"/>
  <c r="Y65" i="2"/>
  <c r="P34" i="2"/>
  <c r="Q30" i="2"/>
  <c r="P7" i="10"/>
  <c r="W30" i="2"/>
  <c r="O38" i="2"/>
  <c r="O50" i="2" s="1"/>
  <c r="O6" i="10" s="1"/>
  <c r="X48" i="2"/>
  <c r="Q34" i="2" l="1"/>
  <c r="Q7" i="10"/>
  <c r="Y30" i="2"/>
  <c r="X30" i="2"/>
  <c r="X66" i="2"/>
  <c r="Y66" i="2"/>
  <c r="P38" i="2"/>
  <c r="W34" i="2"/>
  <c r="P50" i="2" l="1"/>
  <c r="P6" i="10" s="1"/>
  <c r="W38" i="2"/>
  <c r="Q38" i="2"/>
  <c r="X34" i="2"/>
  <c r="X38" i="2" l="1"/>
  <c r="Q50" i="2"/>
  <c r="Q6" i="10" s="1"/>
  <c r="Y38" i="2"/>
</calcChain>
</file>

<file path=xl/sharedStrings.xml><?xml version="1.0" encoding="utf-8"?>
<sst xmlns="http://schemas.openxmlformats.org/spreadsheetml/2006/main" count="753" uniqueCount="541">
  <si>
    <t>SMC 62730 — Drivers</t>
  </si>
  <si>
    <t>BLUE = input/actual; BLACK = same-sheet formula; GREEN = cross-sheet; YELLOW bg = forecast cell</t>
  </si>
  <si>
    <t>1. Sales QoQ Growth Assumptions (%) — adjust to flex PL forecast</t>
  </si>
  <si>
    <t>FY24Q2</t>
  </si>
  <si>
    <t>FY24Q3</t>
  </si>
  <si>
    <t>FY24Q4</t>
  </si>
  <si>
    <t>FY25Q1</t>
  </si>
  <si>
    <t>FY25Q2</t>
  </si>
  <si>
    <t>FY25Q3</t>
  </si>
  <si>
    <t>FY25Q4</t>
  </si>
  <si>
    <t>FY26Q1</t>
  </si>
  <si>
    <t>FY26Q2</t>
  </si>
  <si>
    <t>FY26Q3</t>
  </si>
  <si>
    <t>FY26Q4</t>
  </si>
  <si>
    <t>FY27Q1</t>
  </si>
  <si>
    <t>FY27Q2</t>
  </si>
  <si>
    <t>FY27Q3</t>
  </si>
  <si>
    <t>FY27Q4</t>
  </si>
  <si>
    <t>FY28Q1</t>
  </si>
  <si>
    <t>FY24</t>
  </si>
  <si>
    <t>FY25</t>
  </si>
  <si>
    <t>FY26</t>
  </si>
  <si>
    <t>FY27</t>
  </si>
  <si>
    <t>FY28</t>
  </si>
  <si>
    <t>AutomaticControlEquipment</t>
  </si>
  <si>
    <t>Consolidated OPM (%) — drives OP (Sales × OPM)</t>
  </si>
  <si>
    <t>2. Sales by Segment (億円) — historical actuals from deck</t>
  </si>
  <si>
    <t>TOTAL</t>
  </si>
  <si>
    <t xml:space="preserve">   ↳ Segment OP (factbook 営業利益, 億)</t>
  </si>
  <si>
    <t>AutomaticControlEquipment OP</t>
  </si>
  <si>
    <t>OP TOTAL (= consolidated)</t>
  </si>
  <si>
    <t>4. Sales by Region (億円)</t>
  </si>
  <si>
    <t>Japan</t>
  </si>
  <si>
    <t>NorthAmerica</t>
  </si>
  <si>
    <t>Europe</t>
  </si>
  <si>
    <t>GreaterChina</t>
  </si>
  <si>
    <t>OtherAsia</t>
  </si>
  <si>
    <t>RestOfWorld</t>
  </si>
  <si>
    <t>6. Margin Assumptions (OP = Sales × per-Q consolidated OPM)</t>
  </si>
  <si>
    <t>Per-Segment OPM (reference; consolidated PL)</t>
  </si>
  <si>
    <t>Segment</t>
  </si>
  <si>
    <t>OPM</t>
  </si>
  <si>
    <t>Consolidated SG&amp;A / Sales</t>
  </si>
  <si>
    <t>P&amp;L (億円, EPS in JPY) — BLUE=actual/input, BLACK=formula, GREEN=cross-sheet, ORANGE=guide</t>
  </si>
  <si>
    <t>Line Item</t>
  </si>
  <si>
    <t>FY26 GUIDE</t>
  </si>
  <si>
    <t>Model vs Guide</t>
  </si>
  <si>
    <t>Forecast Formula (plain English)</t>
  </si>
  <si>
    <t>Sales</t>
  </si>
  <si>
    <t>prior Sales × QoQ growth  (mean of cfg.order_growth_qoq across segments)</t>
  </si>
  <si>
    <t xml:space="preserve">  COGS</t>
  </si>
  <si>
    <t>Sales − Gross Profit</t>
  </si>
  <si>
    <t xml:space="preserve">  Gross Profit</t>
  </si>
  <si>
    <t>OP + SG&amp;A  (OPM-driven: GP is derived, not an input)</t>
  </si>
  <si>
    <t xml:space="preserve">    GPM %</t>
  </si>
  <si>
    <t>Gross Profit ÷ Sales</t>
  </si>
  <si>
    <t xml:space="preserve">  SG&amp;A</t>
  </si>
  <si>
    <t>Sales × 19.5%  (yaml override (recent run-rate))</t>
  </si>
  <si>
    <t>Operating Profit</t>
  </si>
  <si>
    <t>Sales × per-Q consolidated OPM (Drivers)</t>
  </si>
  <si>
    <t xml:space="preserve">  OPM %</t>
  </si>
  <si>
    <t>OP ÷ Sales</t>
  </si>
  <si>
    <t xml:space="preserve">  ± Non-Op / 特別 (net)</t>
  </si>
  <si>
    <t>Hist: Pretax−OP (実際 金融/持分法/特別); Fcst: OP × 21.0%</t>
  </si>
  <si>
    <t>Pretax Profit (税前)</t>
  </si>
  <si>
    <t>Pretax (税前): Hist=disclosed actual; Fcst=OP + Non-Op</t>
  </si>
  <si>
    <t xml:space="preserve">  Pretax M %</t>
  </si>
  <si>
    <t>Pretax ÷ Sales</t>
  </si>
  <si>
    <t xml:space="preserve">  − Income Tax</t>
  </si>
  <si>
    <t>Hist: actual 法人税等; Fcst: Pretax × 28.2% (auto)</t>
  </si>
  <si>
    <t xml:space="preserve">    Tax rate %</t>
  </si>
  <si>
    <t>Hist: Income Tax ÷ Pretax (実効税率); Fcst: flat 28.2% assumption (Summary)</t>
  </si>
  <si>
    <t xml:space="preserve">  − Minority Int. (NCI)</t>
  </si>
  <si>
    <t>Hist: Pretax−Tax−NP; Fcst: Pretax × 0.0%</t>
  </si>
  <si>
    <t>Net Income</t>
  </si>
  <si>
    <t>Pretax − Tax − Minority  (親会社株主帰属)</t>
  </si>
  <si>
    <t xml:space="preserve">  NPM %</t>
  </si>
  <si>
    <t>NP ÷ Sales</t>
  </si>
  <si>
    <t>Diluted Shares (M)</t>
  </si>
  <si>
    <t>Hist: per-Q AvgSh from fins_summary; Fcst: prior − Buyback×100÷AvgPx (B26)</t>
  </si>
  <si>
    <t>EPS (¥)</t>
  </si>
  <si>
    <t>NP × 100 ÷ Shares  (oku → yen)</t>
  </si>
  <si>
    <t>DPS (¥)</t>
  </si>
  <si>
    <t>Disclosed DPS (実績/会社予想): interim@Q2, year-end@Q4; else EPS×payout</t>
  </si>
  <si>
    <t>Payout %</t>
  </si>
  <si>
    <t>DPS ÷ EPS</t>
  </si>
  <si>
    <t>Balance Sheet (億) — BLUE=actual/input, BLACK=formula, GREEN=cross-sheet, ORANGE=guide/end-of-FY</t>
  </si>
  <si>
    <t>FY26 EoFY</t>
  </si>
  <si>
    <t>Cash &amp; Equivalents</t>
  </si>
  <si>
    <t>Prior Cash + OCF + ICF + Financing CF  (rolled from CF sheet; NOT Free CF — that is the separate OCF+ICF row)</t>
  </si>
  <si>
    <t xml:space="preserve">  Trade Receivables</t>
  </si>
  <si>
    <t>Sales × DSO / 91  (or actual when available)</t>
  </si>
  <si>
    <t xml:space="preserve">  Inventory</t>
  </si>
  <si>
    <t>COGS × DIO / 91</t>
  </si>
  <si>
    <t xml:space="preserve">  Other CA</t>
  </si>
  <si>
    <t>Held constant from prior  (roll-forward, NOT zeroed)</t>
  </si>
  <si>
    <t>Current Assets</t>
  </si>
  <si>
    <t>Cash + AR + Inv + OtherCA</t>
  </si>
  <si>
    <t xml:space="preserve">  PPE (rolled)</t>
  </si>
  <si>
    <t>Prior PPE + Capex − D&amp;A (Prior PPE × 2.64%/Q  (calibrated to the disclosed guide 165億/Q at the latest PPE; rises with PPE thereafter))</t>
  </si>
  <si>
    <t xml:space="preserve">  Other NCA</t>
  </si>
  <si>
    <t>Held constant from prior</t>
  </si>
  <si>
    <t>TOTAL ASSETS</t>
  </si>
  <si>
    <t>CA + PPE + OtherNCA</t>
  </si>
  <si>
    <t xml:space="preserve">  Trade Payables</t>
  </si>
  <si>
    <t>COGS × DPO / 91  (or actual)</t>
  </si>
  <si>
    <t xml:space="preserve">  Debt</t>
  </si>
  <si>
    <t>Prior Debt + Net Debt Issuance (held flat unless a schedule is set)</t>
  </si>
  <si>
    <t xml:space="preserve">  Other Liab</t>
  </si>
  <si>
    <t>Held constant from prior  (roll-forward)</t>
  </si>
  <si>
    <t>TOTAL LIAB</t>
  </si>
  <si>
    <t>AP + Debt + OtherL  (independent components)</t>
  </si>
  <si>
    <t>Shareholders Eq</t>
  </si>
  <si>
    <t>Prior Eq + NI − Dividends − Buyback</t>
  </si>
  <si>
    <t xml:space="preserve">  Retained Earnings</t>
  </si>
  <si>
    <t>Prior RE + NI − Dividends − Buyback</t>
  </si>
  <si>
    <t xml:space="preserve">  Non-controlling</t>
  </si>
  <si>
    <t>TOTAL EQUITY</t>
  </si>
  <si>
    <t>Eq + NCI</t>
  </si>
  <si>
    <t>BS Check (TA-TL-TE)</t>
  </si>
  <si>
    <t>TA − TL − TE  (must = 0; non-zero ⇒ roll-forward inconsistency)</t>
  </si>
  <si>
    <t>WC Days (Historical = formula from BS÷PL; Forecast = key input)</t>
  </si>
  <si>
    <t>DSO (AR÷Sales×91)</t>
  </si>
  <si>
    <t>Key user input (yellow); historical = AR ÷ Sales × 91</t>
  </si>
  <si>
    <t>DIO (Inv÷COGS×91)</t>
  </si>
  <si>
    <t>Key user input (yellow); historical = Inv ÷ COGS × 91</t>
  </si>
  <si>
    <t>DPO (AP÷COGS×91)</t>
  </si>
  <si>
    <t>Key user input (yellow); historical = AP ÷ COGS × 91</t>
  </si>
  <si>
    <t>Cash Flow (億) — JP cos report CF only at H1+FY. BLUE=actual, BLACK=formula, GREEN=cross-sheet, ORANGE=disclosed-FY.</t>
  </si>
  <si>
    <t>FY26 TOTAL</t>
  </si>
  <si>
    <t>OCF (営業CF)</t>
  </si>
  <si>
    <t>NI + D&amp;A + ΔWC</t>
  </si>
  <si>
    <t>ICF (投資CF)</t>
  </si>
  <si>
    <t>− Capex</t>
  </si>
  <si>
    <t>Financing CF (財務CF)</t>
  </si>
  <si>
    <t>Financing CF (財務CF): − Dividends − Buyback + Net Debt Issuance</t>
  </si>
  <si>
    <t>Net Δcash</t>
  </si>
  <si>
    <t>OCF + ICF + Financing CF</t>
  </si>
  <si>
    <t>Free CF (OCF+ICF)</t>
  </si>
  <si>
    <t>Free CF = OCF + ICF  (= 会社フリーCF)</t>
  </si>
  <si>
    <t xml:space="preserve">  + NI</t>
  </si>
  <si>
    <t>from PL Net Income</t>
  </si>
  <si>
    <t xml:space="preserve">  + D&amp;A</t>
  </si>
  <si>
    <t>Prior PPE × 2.64%/Q  (calibrated to the disclosed guide 165億/Q at the latest PPE; rises with PPE thereafter)  (depreciation)</t>
  </si>
  <si>
    <t xml:space="preserve">  + ΔWC</t>
  </si>
  <si>
    <t>− ΔAR − ΔInv + ΔAP  (working capital change)</t>
  </si>
  <si>
    <t xml:space="preserve">  − Capex</t>
  </si>
  <si>
    <t>Capex/Q assumption (242.0億, edit on Summary)</t>
  </si>
  <si>
    <t xml:space="preserve">  − Dividends</t>
  </si>
  <si>
    <t>DPS × Shares (M) / 100</t>
  </si>
  <si>
    <t xml:space="preserve">  − Buyback</t>
  </si>
  <si>
    <t>Buyback/Q assumption (edit on Summary; seeded from tdnet when announced)</t>
  </si>
  <si>
    <t xml:space="preserve">  + Net Debt Iss</t>
  </si>
  <si>
    <t>Held = 0</t>
  </si>
  <si>
    <t>Capex per Q (億)  [edit on Summary B22]</t>
  </si>
  <si>
    <t>Buyback per Q (億)  [edit on Summary B23]</t>
  </si>
  <si>
    <t>Live Assumptions  ─ edit cells in column B; only forward periods recompute</t>
  </si>
  <si>
    <t>Tax rate %</t>
  </si>
  <si>
    <t>ΣTax/ΣPretax actual (ratio-of-sums), n=19</t>
  </si>
  <si>
    <t>NonOp/OP %</t>
  </si>
  <si>
    <t>5y ΣOdP/ΣOP−1 (ratio-of-sums), n=20</t>
  </si>
  <si>
    <t>SG&amp;A/Sales %</t>
  </si>
  <si>
    <t>yaml override (recent run-rate)</t>
  </si>
  <si>
    <t>config: fixed policy</t>
  </si>
  <si>
    <t>Shares (M)</t>
  </si>
  <si>
    <t>fins_summary ShOutFY(64M)-TrShFY(1M)</t>
  </si>
  <si>
    <t>PPE/TA ratio</t>
  </si>
  <si>
    <t>5y mean PPE/TA from fins_details, n=19</t>
  </si>
  <si>
    <t>RE/Eq ratio</t>
  </si>
  <si>
    <t>5y mean RE/Eq from fins_details, n=19</t>
  </si>
  <si>
    <t>DSO (days)</t>
  </si>
  <si>
    <t>26/1Q BS: AR 2,714億 ÷ Sales 2,709億 × 91</t>
  </si>
  <si>
    <t>DIO (days)</t>
  </si>
  <si>
    <t>26/1Q BS: Inv 5,132億 ÷ COGS 1,440億 × 91 (FY25末 361d, trending down)</t>
  </si>
  <si>
    <t>DPO (days)</t>
  </si>
  <si>
    <t>26/1Q BS: AP 421億 ÷ COGS 1,440億 × 91</t>
  </si>
  <si>
    <t>Capex/Q (億)</t>
  </si>
  <si>
    <t>yaml override (disclosed)</t>
  </si>
  <si>
    <t>Buyback/Q (億)</t>
  </si>
  <si>
    <t>tdnet 2026-05-14: max 500.0億 over 2026-05-20~2027-03-24 ÷4Q</t>
  </si>
  <si>
    <t>Beta (5y vs TPX)</t>
  </si>
  <si>
    <t>daily-return OLS vs TOPIX, 5y window</t>
  </si>
  <si>
    <t>WACC %</t>
  </si>
  <si>
    <t>equity-only (Rf + β × ERP); net-cash firm</t>
  </si>
  <si>
    <t>Buyback Avg Px (¥)</t>
  </si>
  <si>
    <t>user input</t>
  </si>
  <si>
    <t>D&amp;A rate / Q</t>
  </si>
  <si>
    <t>yaml da_per_q_oku 165億 ÷ latest PPE 6,243億 (disclosed guide, not 5y ratio)</t>
  </si>
  <si>
    <t>Minority/Pretax %</t>
  </si>
  <si>
    <t>FY25 pretax−tax−NP = 0.0; NCI equity −5.8億</t>
  </si>
  <si>
    <t>SMC Valuation — LEFT=DCF/PE/PB + verdict; RIGHT=5y multiples history</t>
  </si>
  <si>
    <t>BLUE=input, BLACK=formula, GREEN=cross-sheet</t>
  </si>
  <si>
    <t>Method 1: DCF (FCFF, equity-only)</t>
  </si>
  <si>
    <t>MULTIPLES HISTORY (5y, split-adjusted)</t>
  </si>
  <si>
    <t>FY+1 FCF (億, OCF+ICF)</t>
  </si>
  <si>
    <t>Stat</t>
  </si>
  <si>
    <t>P/E</t>
  </si>
  <si>
    <t>P/B</t>
  </si>
  <si>
    <t>FCF growth Y2-Y5 %</t>
  </si>
  <si>
    <t>Mean</t>
  </si>
  <si>
    <t>Terminal growth %</t>
  </si>
  <si>
    <t>Median</t>
  </si>
  <si>
    <t xml:space="preserve">  Rf % (10y JGB)</t>
  </si>
  <si>
    <t>StdDev</t>
  </si>
  <si>
    <t xml:space="preserve">  ERP % (JP equity premium)</t>
  </si>
  <si>
    <t>Mean +1SD</t>
  </si>
  <si>
    <t xml:space="preserve">  Beta (5y vs TOPIX)</t>
  </si>
  <si>
    <t>Mean −1SD</t>
  </si>
  <si>
    <t>WACC % = Rf + β × ERP</t>
  </si>
  <si>
    <t>CURRENT</t>
  </si>
  <si>
    <t>Stub: days to FY end ÷ 365.25</t>
  </si>
  <si>
    <t>Pct Rank %</t>
  </si>
  <si>
    <t>Mid-year convention: Y1 discount=stub/2, Yn≥2 = stub + (n-1) - 0.5</t>
  </si>
  <si>
    <t>Y1</t>
  </si>
  <si>
    <t>Current Price (¥)</t>
  </si>
  <si>
    <t>Y2</t>
  </si>
  <si>
    <t>Current TTM EPS (¥)</t>
  </si>
  <si>
    <t>Y3</t>
  </si>
  <si>
    <t>Current BPS (¥)</t>
  </si>
  <si>
    <t>Y4</t>
  </si>
  <si>
    <t>Y5</t>
  </si>
  <si>
    <t>Recent 30 days</t>
  </si>
  <si>
    <t>Date</t>
  </si>
  <si>
    <t>Close</t>
  </si>
  <si>
    <t>TTM EPS</t>
  </si>
  <si>
    <t>BPS</t>
  </si>
  <si>
    <t>Terminal (discounted at end-of-Y5 = stub + 4.5)</t>
  </si>
  <si>
    <t>2026-07-29</t>
  </si>
  <si>
    <t>2026-07-30</t>
  </si>
  <si>
    <t>Enterprise Value (億)</t>
  </si>
  <si>
    <t>2026-07-31</t>
  </si>
  <si>
    <t>Net Cash = Cash − Debt (FY26Q1 actual)</t>
  </si>
  <si>
    <t>2026-08-03</t>
  </si>
  <si>
    <t>Equity Value (億)</t>
  </si>
  <si>
    <t>2026-08-04</t>
  </si>
  <si>
    <t>2026-08-05</t>
  </si>
  <si>
    <t>DCF implied price (¥)</t>
  </si>
  <si>
    <t>2026-08-06</t>
  </si>
  <si>
    <t xml:space="preserve">  Net Cash floor (¥)</t>
  </si>
  <si>
    <t>2026-08-07</t>
  </si>
  <si>
    <t>2026-08-10</t>
  </si>
  <si>
    <t>Method 2: P/E range (NTM blend)</t>
  </si>
  <si>
    <t>2026-08-12</t>
  </si>
  <si>
    <t>Blend weight on FY+1 (auto = days→FY end / 365)</t>
  </si>
  <si>
    <t>2026-08-13</t>
  </si>
  <si>
    <t>FY+1 EPS forecast (¥, sum of 4Q)</t>
  </si>
  <si>
    <t>2026-08-14</t>
  </si>
  <si>
    <t>FY+2 EPS forecast (¥, sum of 4Q)</t>
  </si>
  <si>
    <t>2026-08-17</t>
  </si>
  <si>
    <t>NTM EPS = w·FY+1 + (1−w)·FY+2</t>
  </si>
  <si>
    <t>2026-08-18</t>
  </si>
  <si>
    <t>5y mean P/E</t>
  </si>
  <si>
    <t>2026-08-19</t>
  </si>
  <si>
    <t>5y +1SD P/E</t>
  </si>
  <si>
    <t>2026-08-20</t>
  </si>
  <si>
    <t>5y −1SD P/E</t>
  </si>
  <si>
    <t>2026-08-21</t>
  </si>
  <si>
    <t>Implied @mean (NTM)</t>
  </si>
  <si>
    <t>2026-08-24</t>
  </si>
  <si>
    <t>Implied @+1SD</t>
  </si>
  <si>
    <t>2026-08-25</t>
  </si>
  <si>
    <t>Implied @−1SD</t>
  </si>
  <si>
    <t>2026-08-26</t>
  </si>
  <si>
    <t>2026-08-27</t>
  </si>
  <si>
    <t>2026-08-28</t>
  </si>
  <si>
    <t>Method 3: P/B range (NTM blend)</t>
  </si>
  <si>
    <t>2026-08-31</t>
  </si>
  <si>
    <t>Current BPS (latest, ¥/share)</t>
  </si>
  <si>
    <t>2026-09-01</t>
  </si>
  <si>
    <t xml:space="preserve">  + FY+1 ΔBPS (4Q NI × retention / shares)</t>
  </si>
  <si>
    <t>2026-09-02</t>
  </si>
  <si>
    <t xml:space="preserve">  + FY+2 ΔBPS (only when blend leans to FY+2)</t>
  </si>
  <si>
    <t>2026-09-03</t>
  </si>
  <si>
    <t>NTM BPS = (current + ΔFY1 + (1−w)·ΔFY2)</t>
  </si>
  <si>
    <t>2026-09-04</t>
  </si>
  <si>
    <t>5y mean P/B</t>
  </si>
  <si>
    <t>2026-09-07</t>
  </si>
  <si>
    <t>5y +1SD P/B</t>
  </si>
  <si>
    <t>2026-09-08</t>
  </si>
  <si>
    <t>5y −1SD P/B</t>
  </si>
  <si>
    <t>2026-09-09</t>
  </si>
  <si>
    <t>VERDICT (NTM target)</t>
  </si>
  <si>
    <t>DCF target</t>
  </si>
  <si>
    <t>P/E target (NTM)</t>
  </si>
  <si>
    <t>P/B target (NTM)</t>
  </si>
  <si>
    <t>Composite</t>
  </si>
  <si>
    <t>Industry / Macro Indicators — context for SMC (¥億, monthly)</t>
  </si>
  <si>
    <t>Rows = indicators; Cols = months (latest right). Easy to plot. Sources: JMTBA + MOF 貿易統計</t>
  </si>
  <si>
    <t>Indicator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</si>
  <si>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</si>
  <si>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</si>
  <si>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</si>
  <si>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</si>
  <si>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</si>
  <si>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</si>
  <si>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</si>
  <si>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</si>
  <si>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</si>
  <si>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</si>
  <si>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</si>
  <si>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</si>
  <si>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</si>
  <si>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</si>
  <si>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</si>
  <si>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</si>
  <si>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</si>
  <si>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</si>
  <si>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</si>
  <si>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</si>
  <si>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</si>
  <si>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</si>
  <si>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</si>
  <si>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202606</t>
  </si>
  <si>
    <t>202607</t>
  </si>
  <si>
    <t>JMTBA total (億)</t>
  </si>
  <si>
    <t xml:space="preserve">  total YoY %</t>
  </si>
  <si>
    <t>JMTBA domestic (億)</t>
  </si>
  <si>
    <t xml:space="preserve">  domestic YoY %</t>
  </si>
  <si>
    <t>JMTBA foreign (億)</t>
  </si>
  <si>
    <t xml:space="preserve">  foreign YoY %</t>
  </si>
  <si>
    <t>JMTBA backlog (億)</t>
  </si>
  <si>
    <t xml:space="preserve">  backlog YoY %</t>
  </si>
  <si>
    <t>JMTBA total 速報 (億)</t>
  </si>
  <si>
    <t xml:space="preserve">  total 速報 YoY %</t>
  </si>
  <si>
    <t>JMTBA domestic 速報 (億)</t>
  </si>
  <si>
    <t xml:space="preserve">  domestic 速報 YoY %</t>
  </si>
  <si>
    <t>JMTBA foreign 速報 (億)</t>
  </si>
  <si>
    <t xml:space="preserve">  foreign 速報 YoY %</t>
  </si>
  <si>
    <t>JMTBA 中国 (億)</t>
  </si>
  <si>
    <t xml:space="preserve">  中国 YoY %</t>
  </si>
  <si>
    <t>JMTBA アメリカ (億)</t>
  </si>
  <si>
    <t xml:space="preserve">  アメリカ YoY %</t>
  </si>
  <si>
    <t>JMTBA インド (億)</t>
  </si>
  <si>
    <t xml:space="preserve">  インド YoY %</t>
  </si>
  <si>
    <t>JMTBA 台湾 (億)</t>
  </si>
  <si>
    <t xml:space="preserve">  台湾 YoY %</t>
  </si>
  <si>
    <t>JMTBA 韓国 (億)</t>
  </si>
  <si>
    <t xml:space="preserve">  韓国 YoY %</t>
  </si>
  <si>
    <t>JMTBA ドイツ (億)</t>
  </si>
  <si>
    <t xml:space="preserve">  ドイツ YoY %</t>
  </si>
  <si>
    <t>JMTBA うち自動車部品 (億)</t>
  </si>
  <si>
    <t xml:space="preserve">  うち自動車部品 YoY %</t>
  </si>
  <si>
    <t>JMTBA 電気・精密 計 (億)</t>
  </si>
  <si>
    <t xml:space="preserve">  電気・精密 計 YoY %</t>
  </si>
  <si>
    <t>MOF Robot Exp HS 8479 (億)</t>
  </si>
  <si>
    <t xml:space="preserve">  MOF Robot Exp HS 8479 YoY %</t>
  </si>
  <si>
    <t>MOF Semi-Eq Exp HS 8486 (億)</t>
  </si>
  <si>
    <t xml:space="preserve">  MOF Semi-Eq Exp HS 8486 YoY %</t>
  </si>
  <si>
    <t>MOF CNC Tool Exp HS 8459 (億)</t>
  </si>
  <si>
    <t xml:space="preserve">  MOF CNC Tool Exp HS 8459 YoY %</t>
  </si>
  <si>
    <t>Peer Comparables for SMC (62730) — common multiples</t>
  </si>
  <si>
    <t>Source: J-Quants daily_bars × fins_summary FY (split-adjusted BPS). P/E(fwd) = Nikkei QUICK consensus for the CURRENT FY — near a company's FY-end that is nearly trailing.</t>
  </si>
  <si>
    <t>Code</t>
  </si>
  <si>
    <t>Name</t>
  </si>
  <si>
    <t>Period</t>
  </si>
  <si>
    <t>Price</t>
  </si>
  <si>
    <t>MCap (億)</t>
  </si>
  <si>
    <t>OP</t>
  </si>
  <si>
    <t>NP</t>
  </si>
  <si>
    <t>EPS</t>
  </si>
  <si>
    <t>P/E (fwd)</t>
  </si>
  <si>
    <t>OPM %</t>
  </si>
  <si>
    <t>ROE %</t>
  </si>
  <si>
    <t>Sales YoY %</t>
  </si>
  <si>
    <t>62730</t>
  </si>
  <si>
    <t>ＳＭＣ</t>
  </si>
  <si>
    <t>Consensus 2027/3連予 (n=10)</t>
  </si>
  <si>
    <t>64070</t>
  </si>
  <si>
    <t>ＣＫＤ</t>
  </si>
  <si>
    <t>Consensus 2027/3連予 (n=9)</t>
  </si>
  <si>
    <t>64810</t>
  </si>
  <si>
    <t>ＴＨＫ</t>
  </si>
  <si>
    <t>Consensus 2026/12連I予 (n=6)</t>
  </si>
  <si>
    <t>68610</t>
  </si>
  <si>
    <t>キーエンス</t>
  </si>
  <si>
    <t>Consensus 2027/3連予 (n=12)</t>
  </si>
  <si>
    <t>66450</t>
  </si>
  <si>
    <t>オムロン</t>
  </si>
  <si>
    <t>Consensus 2027/3連I予 (n=4)</t>
  </si>
  <si>
    <t>69540</t>
  </si>
  <si>
    <t>ファナック</t>
  </si>
  <si>
    <t>65060</t>
  </si>
  <si>
    <t>安川電機</t>
  </si>
  <si>
    <t>Consensus 2027/2連I予 (n=15)</t>
  </si>
  <si>
    <t>62680</t>
  </si>
  <si>
    <t>ナブテスコ</t>
  </si>
  <si>
    <t>Consensus 2026/12連I予 (n=5)</t>
  </si>
  <si>
    <t>MEDIAN (peers)</t>
  </si>
  <si>
    <t>SMC (62730) — Model Summary  [BLUE=input, BLACK=formula, GREEN=cross-sheet, YELLOW=key tunable]</t>
  </si>
  <si>
    <t>Metric</t>
  </si>
  <si>
    <t>Hist FY</t>
  </si>
  <si>
    <t>Model FY+1</t>
  </si>
  <si>
    <t>Model FY+2</t>
  </si>
  <si>
    <t>Company Guide</t>
  </si>
  <si>
    <t>vs Guide %</t>
  </si>
  <si>
    <t>Sales (億)</t>
  </si>
  <si>
    <t>OP (億)</t>
  </si>
  <si>
    <t>NP (億)</t>
  </si>
  <si>
    <t>SMC — Cycle Multiple Bands (full history, PIT, split-adjusted)</t>
  </si>
  <si>
    <t>UPCYCLE → read P/E.  BOTTOM → read P/B (trough EPS makes P/E meaningless). Phase clock is DESCRIPTIVE (full-sample OPM median), never a signal.</t>
  </si>
  <si>
    <t>0. P/B comparability gate — cash ÷ equity (FY-end)</t>
  </si>
  <si>
    <t>range 21.5%-40.7%, mean 28.7%, first3→last3 drift -2.0pp → P/B COMPARABLE across time</t>
  </si>
  <si>
    <t>1. Full-history band (monthly, TTM basis)</t>
  </si>
  <si>
    <t>n</t>
  </si>
  <si>
    <t>min</t>
  </si>
  <si>
    <t>p10</t>
  </si>
  <si>
    <t>p25</t>
  </si>
  <si>
    <t>median</t>
  </si>
  <si>
    <t>p75</t>
  </si>
  <si>
    <t>p90</t>
  </si>
  <si>
    <t>max</t>
  </si>
  <si>
    <t>2. By cycle phase  (OPM median split = 27.44%)</t>
  </si>
  <si>
    <t>Phase</t>
  </si>
  <si>
    <t>months</t>
  </si>
  <si>
    <t>OPM med %</t>
  </si>
  <si>
    <t>P/E p25</t>
  </si>
  <si>
    <t>P/E med</t>
  </si>
  <si>
    <t>P/E p75</t>
  </si>
  <si>
    <t>P/B min</t>
  </si>
  <si>
    <t>P/B p25</t>
  </si>
  <si>
    <t>P/B med</t>
  </si>
  <si>
    <t>P/B p75</t>
  </si>
  <si>
    <t>P/B max</t>
  </si>
  <si>
    <t>1 Recovery (低OPM・回升)</t>
  </si>
  <si>
    <t>2 Expansion (高OPM・上行)</t>
  </si>
  <si>
    <t>3 Early-down (高OPM・转跌)</t>
  </si>
  <si>
    <t>4 Trough (低OPM・下行)</t>
  </si>
  <si>
    <t>3. Cycle extremes (±12M local, PIT). 'prov' = inside the last 12M, no right-hand side yet</t>
  </si>
  <si>
    <t>Event</t>
  </si>
  <si>
    <t>TTM OP (億)</t>
  </si>
  <si>
    <t>confirmed</t>
  </si>
  <si>
    <t>盈利峰 OP peak</t>
  </si>
  <si>
    <t>2009-05</t>
  </si>
  <si>
    <t>yes</t>
  </si>
  <si>
    <t>2011-11</t>
  </si>
  <si>
    <t>2016-02</t>
  </si>
  <si>
    <t>2018-08</t>
  </si>
  <si>
    <t>2023-05</t>
  </si>
  <si>
    <t>2026-08</t>
  </si>
  <si>
    <t>prov</t>
  </si>
  <si>
    <t>盈利谷 OP trough</t>
  </si>
  <si>
    <t>2010-02</t>
  </si>
  <si>
    <t>2013-02</t>
  </si>
  <si>
    <t>2016-11</t>
  </si>
  <si>
    <t>2020-11</t>
  </si>
  <si>
    <t>2025-11</t>
  </si>
  <si>
    <t>股价顶 Price top</t>
  </si>
  <si>
    <t>2011-04</t>
  </si>
  <si>
    <t>2015-05</t>
  </si>
  <si>
    <t>2018-01</t>
  </si>
  <si>
    <t>2021-12</t>
  </si>
  <si>
    <t>2024-02</t>
  </si>
  <si>
    <t>2026-04</t>
  </si>
  <si>
    <t>股价底 Price bottom</t>
  </si>
  <si>
    <t>2009-11</t>
  </si>
  <si>
    <t>2016-06</t>
  </si>
  <si>
    <t>2018-12</t>
  </si>
  <si>
    <t>2022-12</t>
  </si>
  <si>
    <t>2025-09</t>
  </si>
  <si>
    <t>4. Current reading</t>
  </si>
  <si>
    <t>As of</t>
  </si>
  <si>
    <t>Price (¥)</t>
  </si>
  <si>
    <t>TTM EPS (¥)</t>
  </si>
  <si>
    <t>BPS (¥)</t>
  </si>
  <si>
    <t>TTM OPM %</t>
  </si>
  <si>
    <t>TTM OP YoY %</t>
  </si>
  <si>
    <t>Phase (mechanical)</t>
  </si>
  <si>
    <t>5. ONE-YEAR-FORWARD price = band × model NTM EPS / NTM BPS (live off Valuation). NOT a fair value today: the bands above are measured on TRAILING EPS/BPS, so applying them to NTM figures prices the stock 12M out AT THAT MULTIPLE. Band × CURRENT TTM EPS/BPS is the today-fair-value read.</t>
  </si>
  <si>
    <t>NTM EPS (¥) — Valuation!B32</t>
  </si>
  <si>
    <t>NTM BPS (¥) — Valuation!B45</t>
  </si>
  <si>
    <t>Band</t>
  </si>
  <si>
    <t>P/E x</t>
  </si>
  <si>
    <t>→ price</t>
  </si>
  <si>
    <t>P/B x</t>
  </si>
  <si>
    <t>Full-history p25</t>
  </si>
  <si>
    <t>Full-history median</t>
  </si>
  <si>
    <t>Full-history p75</t>
  </si>
  <si>
    <t>Full-history p90</t>
  </si>
  <si>
    <t>1 Recovery (低OPM・回升) median</t>
  </si>
  <si>
    <t>2 Expansion (高OPM・上行) median</t>
  </si>
  <si>
    <t>3 Early-down (高OPM・转跌) median</t>
  </si>
  <si>
    <t>4 Trough (低OPM・下行) median</t>
  </si>
  <si>
    <t>6. FORWARD P/E on 会社予想 (company guidance), full history, PIT</t>
  </si>
  <si>
    <t>A CONSENSUS forward band is not buildable here — PIT consensus snapshots only start 2026-04-09 (~5 months). Company guidance is carried PIT in fins_summary since 2008, and 会社予想PER is the multiple the JP market actually quotes. The sandbag is handled explicitly by the beat table below, not left implicit in the multiple.</t>
  </si>
  <si>
    <t>Guide horizon (compare LIKE FOR LIKE)</t>
  </si>
  <si>
    <t>9-11M left (期初 4-6月)</t>
  </si>
  <si>
    <t>6-8M left (1Q後 7-9月)   ← CURRENT</t>
  </si>
  <si>
    <t>3-5M left (2Q後 10-12月)</t>
  </si>
  <si>
    <t>0-2M left (3Q後 1-3月)</t>
  </si>
  <si>
    <t>All horizons pooled</t>
  </si>
  <si>
    <t>Guide EPS in force (¥)</t>
  </si>
  <si>
    <t>Guided FY end</t>
  </si>
  <si>
    <t>2027-03</t>
  </si>
  <si>
    <t>Months of guide left</t>
  </si>
  <si>
    <t>CURRENT 会社予想 fwd P/E</t>
  </si>
  <si>
    <t xml:space="preserve">  percentile within the SAME horizon bucket</t>
  </si>
  <si>
    <t>Sandbag check — actual FY EPS ÷ the FIRST guide issued for that FY</t>
  </si>
  <si>
    <t>beat rate %</t>
  </si>
  <si>
    <t>guide → actual factor</t>
  </si>
  <si>
    <t>Read: a factor of 1.20 means the company came in 20% above its own opening guide. The max is a post-crash artefact (guide reset to near-zero), so use the median.</t>
  </si>
  <si>
    <t>Same price, four EPS vintages — this is what the 'P/E' argument is really about</t>
  </si>
  <si>
    <t>EPS vintage</t>
  </si>
  <si>
    <t>FY EPS (¥)</t>
  </si>
  <si>
    <t>fwd P/E</t>
  </si>
  <si>
    <t>implied beat vs guide</t>
  </si>
  <si>
    <t>会社 guide (fins_summary)</t>
  </si>
  <si>
    <t>街道 consensus (Comp sheet)</t>
  </si>
  <si>
    <t>guide × historical median beat</t>
  </si>
  <si>
    <t>本模型 this model (FY guide-year)</t>
  </si>
  <si>
    <t>Price used: ¥70,300 (2026-08-28). The 'implied beat' column says what each EPS vintage assumes about the sandbag — compare it against the beat-factor distribution above before believing any of them.</t>
  </si>
  <si>
    <t>SMC — Integrity Checks. All cells should be 0. Master cell at top.</t>
  </si>
  <si>
    <t>MASTER STATUS</t>
  </si>
  <si>
    <t>Check</t>
  </si>
  <si>
    <t>BS: TA - TL - TE</t>
  </si>
  <si>
    <t>Cash tie: BS Cash - (Prior Cash + CF NetΔ)</t>
  </si>
  <si>
    <t>NI link: PL NI - CF NI</t>
  </si>
  <si>
    <t>RE roll: ΔRE - (NI - Div - Buyback)</t>
  </si>
  <si>
    <t>ΔWC tie: CF ΔWC vs BS ΔAR/Inv/AP</t>
  </si>
  <si>
    <t>CapEx tie: CF Capex - Assumption</t>
  </si>
  <si>
    <t>Buyback tie: CF Buyback - Assumption</t>
  </si>
  <si>
    <t>Sign convention reminder:</t>
  </si>
  <si>
    <t xml:space="preserve">  CFO ΔAR (asset increase) = NEGATIVE (use of cash)</t>
  </si>
  <si>
    <t xml:space="preserve">  CFO ΔAP (liability increase) = POSITIVE (source of cash)</t>
  </si>
  <si>
    <t xml:space="preserve">  CFI Capex = NEGATIVE outflow (stored as positive in row 14, sign on FCF formula)</t>
  </si>
  <si>
    <t xml:space="preserve">  CFF Dividend / Buyback stored as POSITIVE (outflow); FCF = -Div - Buyback + DebtIss</t>
  </si>
  <si>
    <t xml:space="preserve">  Cash tie: BS Cash[N] = BS Cash[N-1] + CF (OCF + ICF + FCF)</t>
  </si>
  <si>
    <t xml:space="preserve">  RE roll: BS RE[N] = BS RE[N-1] + PL NI[N] - CF Div[N] - CF Buyback[N]</t>
  </si>
  <si>
    <t>USDJPY</t>
    <phoneticPr fontId="26" type="noConversion"/>
  </si>
  <si>
    <t>Base</t>
    <phoneticPr fontId="26" type="noConversion"/>
  </si>
  <si>
    <t>Bull</t>
    <phoneticPr fontId="26" type="noConversion"/>
  </si>
  <si>
    <t>Bear</t>
    <phoneticPr fontId="26" type="noConversion"/>
  </si>
  <si>
    <t>Expected</t>
    <phoneticPr fontId="26" type="noConversion"/>
  </si>
  <si>
    <t>Comment</t>
    <phoneticPr fontId="26" type="noConversion"/>
  </si>
  <si>
    <t>Odds</t>
    <phoneticPr fontId="26" type="noConversion"/>
  </si>
  <si>
    <t>Target Price</t>
    <phoneticPr fontId="26" type="noConversion"/>
  </si>
  <si>
    <t>Cases</t>
    <phoneticPr fontId="26" type="noConversion"/>
  </si>
  <si>
    <t>Upside</t>
    <phoneticPr fontId="26" type="noConversion"/>
  </si>
  <si>
    <t>Current</t>
    <phoneticPr fontId="26" type="noConversion"/>
  </si>
  <si>
    <t>EPS 3500@25x</t>
    <phoneticPr fontId="26" type="noConversion"/>
  </si>
  <si>
    <t>EPS 4000@25x</t>
    <phoneticPr fontId="26" type="noConversion"/>
  </si>
  <si>
    <t>EPS 3000@20x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</si>
</sst>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_);[Red]\(0.0\);&quot;–&quot;"/>
    <numFmt numFmtId="177" formatCode="#,##0.0_);[Red]\(#,##0.0\);&quot;–&quot;"/>
    <numFmt numFmtId="178" formatCode="0.0%"/>
    <numFmt numFmtId="179" formatCode="0.00_);[Red]\(0.00\);&quot;–&quot;"/>
    <numFmt numFmtId="180" formatCode="_(* #,##0.0_);_(* \(#,##0.0\);&quot;OK!&quot;;&quot;ERROR&quot;"/>
    <numFmt numFmtId="181" formatCode="0_);[Red]\(0\);&quot;–&quot;"/>
    <numFmt numFmtId="182" formatCode="0.000"/>
    <numFmt numFmtId="183" formatCode="0.0000"/>
    <numFmt numFmtId="184" formatCode="#,##0_);[Red]\(#,##0\);&quot;–&quot;"/>
    <numFmt numFmtId="185" formatCode="0.0&quot;x&quot;_);[Red]\(0.0&quot;x&quot;\);&quot;–&quot;"/>
    <numFmt numFmtId="186" formatCode="0.0"/>
    <numFmt numFmtId="187" formatCode="0.0;[Red]\-0.0;&quot;OK&quot;"/>
  </numFmts>
  <fonts count="28">
    <font>
      <sz val="11"/>
      <color theme="1"/>
      <name val="宋体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1F4FD1"/>
      <name val="Arial"/>
      <family val="2"/>
    </font>
    <font>
      <b/>
      <sz val="11"/>
      <color rgb="FF1F2933"/>
      <name val="Arial"/>
      <family val="2"/>
    </font>
    <font>
      <sz val="11"/>
      <color rgb="FF1F2933"/>
      <name val="Arial"/>
      <family val="2"/>
    </font>
    <font>
      <i/>
      <sz val="11"/>
      <color rgb="FF1F2933"/>
      <name val="Arial"/>
      <family val="2"/>
    </font>
    <font>
      <b/>
      <sz val="11"/>
      <color rgb="FF0F7A3D"/>
      <name val="Arial"/>
      <family val="2"/>
    </font>
    <font>
      <sz val="11"/>
      <color rgb="FF0F7A3D"/>
      <name val="Arial"/>
      <family val="2"/>
    </font>
    <font>
      <i/>
      <sz val="11"/>
      <color rgb="FF0F7A3D"/>
      <name val="Arial"/>
      <family val="2"/>
    </font>
    <font>
      <b/>
      <sz val="11"/>
      <color rgb="FF1F4FD1"/>
      <name val="Arial"/>
      <family val="2"/>
    </font>
    <font>
      <b/>
      <i/>
      <sz val="11"/>
      <color rgb="FF1F2933"/>
      <name val="Arial"/>
      <family val="2"/>
    </font>
    <font>
      <b/>
      <sz val="11"/>
      <color rgb="FF1F4FD1"/>
      <name val="宋体"/>
      <family val="3"/>
      <charset val="134"/>
    </font>
    <font>
      <sz val="11"/>
      <color rgb="FF1F4FD1"/>
      <name val="宋体"/>
      <family val="3"/>
      <charset val="134"/>
    </font>
    <font>
      <b/>
      <sz val="14"/>
      <name val="Arial"/>
      <family val="2"/>
    </font>
    <font>
      <sz val="11"/>
      <color theme="1"/>
      <name val="Arial"/>
      <family val="2"/>
    </font>
    <font>
      <i/>
      <sz val="10"/>
      <color rgb="FF80808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sz val="11"/>
      <color rgb="FF595959"/>
      <name val="Arial"/>
      <family val="2"/>
    </font>
    <font>
      <b/>
      <i/>
      <sz val="11"/>
      <color rgb="FF0F7A3D"/>
      <name val="Arial"/>
      <family val="2"/>
    </font>
    <font>
      <i/>
      <sz val="9"/>
      <color rgb="FF808080"/>
      <name val="Arial"/>
      <family val="2"/>
    </font>
    <font>
      <i/>
      <sz val="11"/>
      <color rgb="FF808080"/>
      <name val="Arial"/>
      <family val="2"/>
    </font>
    <font>
      <b/>
      <sz val="12"/>
      <color rgb="FF1F4FD1"/>
      <name val="Arial"/>
      <family val="2"/>
    </font>
    <font>
      <sz val="9"/>
      <name val="Arial"/>
      <family val="2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i/>
      <sz val="12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CE6F4"/>
      </patternFill>
    </fill>
    <fill>
      <patternFill patternType="solid">
        <fgColor rgb="FF1F3A5F"/>
      </patternFill>
    </fill>
    <fill>
      <patternFill patternType="solid">
        <fgColor rgb="FF2E5598"/>
      </patternFill>
    </fill>
    <fill>
      <patternFill patternType="solid">
        <fgColor rgb="FFDDEBF7"/>
      </patternFill>
    </fill>
    <fill>
      <patternFill patternType="solid">
        <fgColor rgb="FF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2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0" xfId="0" applyFont="1"/>
    <xf numFmtId="176" fontId="3" fillId="0" borderId="0" xfId="0" applyNumberFormat="1" applyFont="1"/>
    <xf numFmtId="176" fontId="3" fillId="6" borderId="0" xfId="0" applyNumberFormat="1" applyFont="1" applyFill="1"/>
    <xf numFmtId="0" fontId="1" fillId="3" borderId="0" xfId="0" applyFont="1" applyFill="1"/>
    <xf numFmtId="177" fontId="3" fillId="0" borderId="0" xfId="0" applyNumberFormat="1" applyFont="1"/>
    <xf numFmtId="177" fontId="5" fillId="5" borderId="0" xfId="0" applyNumberFormat="1" applyFont="1" applyFill="1"/>
    <xf numFmtId="177" fontId="4" fillId="0" borderId="0" xfId="0" applyNumberFormat="1" applyFont="1"/>
    <xf numFmtId="177" fontId="4" fillId="5" borderId="0" xfId="0" applyNumberFormat="1" applyFont="1" applyFill="1"/>
    <xf numFmtId="178" fontId="3" fillId="6" borderId="0" xfId="0" applyNumberFormat="1" applyFont="1" applyFill="1"/>
    <xf numFmtId="178" fontId="3" fillId="0" borderId="0" xfId="0" applyNumberFormat="1" applyFont="1"/>
    <xf numFmtId="0" fontId="18" fillId="0" borderId="0" xfId="0" applyFont="1"/>
    <xf numFmtId="0" fontId="1" fillId="2" borderId="0" xfId="0" applyFont="1" applyFill="1" applyAlignment="1">
      <alignment horizontal="center"/>
    </xf>
    <xf numFmtId="178" fontId="6" fillId="0" borderId="0" xfId="0" applyNumberFormat="1" applyFont="1"/>
    <xf numFmtId="0" fontId="19" fillId="0" borderId="0" xfId="0" applyFont="1"/>
    <xf numFmtId="177" fontId="5" fillId="0" borderId="0" xfId="0" applyNumberFormat="1" applyFont="1"/>
    <xf numFmtId="176" fontId="6" fillId="0" borderId="0" xfId="0" applyNumberFormat="1" applyFont="1"/>
    <xf numFmtId="176" fontId="6" fillId="5" borderId="0" xfId="0" applyNumberFormat="1" applyFont="1" applyFill="1"/>
    <xf numFmtId="177" fontId="7" fillId="5" borderId="0" xfId="0" applyNumberFormat="1" applyFont="1" applyFill="1"/>
    <xf numFmtId="177" fontId="8" fillId="5" borderId="0" xfId="0" applyNumberFormat="1" applyFont="1" applyFill="1"/>
    <xf numFmtId="176" fontId="9" fillId="0" borderId="0" xfId="0" applyNumberFormat="1" applyFont="1"/>
    <xf numFmtId="179" fontId="5" fillId="0" borderId="0" xfId="0" applyNumberFormat="1" applyFont="1"/>
    <xf numFmtId="179" fontId="4" fillId="5" borderId="0" xfId="0" applyNumberFormat="1" applyFont="1" applyFill="1"/>
    <xf numFmtId="179" fontId="3" fillId="0" borderId="0" xfId="0" applyNumberFormat="1" applyFont="1"/>
    <xf numFmtId="179" fontId="8" fillId="0" borderId="0" xfId="0" applyNumberFormat="1" applyFont="1"/>
    <xf numFmtId="179" fontId="5" fillId="5" borderId="0" xfId="0" applyNumberFormat="1" applyFont="1" applyFill="1"/>
    <xf numFmtId="177" fontId="10" fillId="0" borderId="0" xfId="0" applyNumberFormat="1" applyFont="1"/>
    <xf numFmtId="180" fontId="5" fillId="0" borderId="0" xfId="0" applyNumberFormat="1" applyFont="1"/>
    <xf numFmtId="0" fontId="2" fillId="2" borderId="0" xfId="0" applyFont="1" applyFill="1"/>
    <xf numFmtId="181" fontId="8" fillId="0" borderId="0" xfId="0" applyNumberFormat="1" applyFont="1"/>
    <xf numFmtId="181" fontId="8" fillId="5" borderId="0" xfId="0" applyNumberFormat="1" applyFont="1" applyFill="1"/>
    <xf numFmtId="181" fontId="5" fillId="5" borderId="0" xfId="0" applyNumberFormat="1" applyFont="1" applyFill="1"/>
    <xf numFmtId="177" fontId="20" fillId="5" borderId="0" xfId="0" applyNumberFormat="1" applyFont="1" applyFill="1"/>
    <xf numFmtId="177" fontId="10" fillId="5" borderId="0" xfId="0" applyNumberFormat="1" applyFont="1" applyFill="1"/>
    <xf numFmtId="177" fontId="11" fillId="5" borderId="0" xfId="0" applyNumberFormat="1" applyFont="1" applyFill="1"/>
    <xf numFmtId="177" fontId="8" fillId="0" borderId="0" xfId="0" applyNumberFormat="1" applyFont="1"/>
    <xf numFmtId="0" fontId="21" fillId="0" borderId="0" xfId="0" applyFont="1"/>
    <xf numFmtId="182" fontId="3" fillId="6" borderId="0" xfId="0" applyNumberFormat="1" applyFont="1" applyFill="1"/>
    <xf numFmtId="181" fontId="3" fillId="6" borderId="0" xfId="0" applyNumberFormat="1" applyFont="1" applyFill="1"/>
    <xf numFmtId="177" fontId="3" fillId="6" borderId="0" xfId="0" applyNumberFormat="1" applyFont="1" applyFill="1"/>
    <xf numFmtId="182" fontId="3" fillId="0" borderId="0" xfId="0" applyNumberFormat="1" applyFont="1"/>
    <xf numFmtId="3" fontId="3" fillId="6" borderId="0" xfId="0" applyNumberFormat="1" applyFont="1" applyFill="1"/>
    <xf numFmtId="183" fontId="3" fillId="6" borderId="0" xfId="0" applyNumberFormat="1" applyFont="1" applyFill="1"/>
    <xf numFmtId="2" fontId="3" fillId="0" borderId="0" xfId="0" applyNumberFormat="1" applyFont="1"/>
    <xf numFmtId="176" fontId="11" fillId="0" borderId="0" xfId="0" applyNumberFormat="1" applyFont="1"/>
    <xf numFmtId="182" fontId="5" fillId="0" borderId="0" xfId="0" applyNumberFormat="1" applyFont="1"/>
    <xf numFmtId="184" fontId="10" fillId="0" borderId="0" xfId="0" applyNumberFormat="1" applyFont="1"/>
    <xf numFmtId="184" fontId="3" fillId="0" borderId="0" xfId="0" applyNumberFormat="1" applyFont="1"/>
    <xf numFmtId="179" fontId="4" fillId="0" borderId="0" xfId="0" applyNumberFormat="1" applyFont="1"/>
    <xf numFmtId="2" fontId="10" fillId="6" borderId="0" xfId="0" applyNumberFormat="1" applyFont="1" applyFill="1"/>
    <xf numFmtId="179" fontId="7" fillId="0" borderId="0" xfId="0" applyNumberFormat="1" applyFont="1"/>
    <xf numFmtId="179" fontId="4" fillId="6" borderId="0" xfId="0" applyNumberFormat="1" applyFont="1" applyFill="1"/>
    <xf numFmtId="2" fontId="8" fillId="0" borderId="0" xfId="0" applyNumberFormat="1" applyFont="1"/>
    <xf numFmtId="0" fontId="14" fillId="2" borderId="0" xfId="0" applyFont="1" applyFill="1"/>
    <xf numFmtId="49" fontId="5" fillId="0" borderId="0" xfId="0" applyNumberFormat="1" applyFont="1"/>
    <xf numFmtId="49" fontId="14" fillId="0" borderId="0" xfId="0" applyNumberFormat="1" applyFont="1"/>
    <xf numFmtId="0" fontId="17" fillId="0" borderId="0" xfId="0" applyFont="1"/>
    <xf numFmtId="0" fontId="2" fillId="6" borderId="0" xfId="0" applyFont="1" applyFill="1"/>
    <xf numFmtId="185" fontId="2" fillId="0" borderId="0" xfId="0" applyNumberFormat="1" applyFont="1"/>
    <xf numFmtId="176" fontId="2" fillId="0" borderId="0" xfId="0" applyNumberFormat="1" applyFont="1"/>
    <xf numFmtId="177" fontId="7" fillId="0" borderId="0" xfId="0" applyNumberFormat="1" applyFont="1"/>
    <xf numFmtId="177" fontId="3" fillId="5" borderId="0" xfId="0" applyNumberFormat="1" applyFont="1" applyFill="1"/>
    <xf numFmtId="176" fontId="3" fillId="5" borderId="0" xfId="0" applyNumberFormat="1" applyFont="1" applyFill="1"/>
    <xf numFmtId="179" fontId="3" fillId="5" borderId="0" xfId="0" applyNumberFormat="1" applyFont="1" applyFill="1"/>
    <xf numFmtId="0" fontId="22" fillId="0" borderId="0" xfId="0" applyFont="1"/>
    <xf numFmtId="186" fontId="3" fillId="0" borderId="0" xfId="0" applyNumberFormat="1" applyFont="1"/>
    <xf numFmtId="184" fontId="8" fillId="0" borderId="0" xfId="0" applyNumberFormat="1" applyFont="1"/>
    <xf numFmtId="184" fontId="5" fillId="0" borderId="0" xfId="0" applyNumberFormat="1" applyFont="1"/>
    <xf numFmtId="1" fontId="3" fillId="0" borderId="0" xfId="0" applyNumberFormat="1" applyFont="1"/>
    <xf numFmtId="186" fontId="5" fillId="0" borderId="0" xfId="0" applyNumberFormat="1" applyFont="1"/>
    <xf numFmtId="0" fontId="23" fillId="6" borderId="0" xfId="0" applyFont="1" applyFill="1"/>
    <xf numFmtId="187" fontId="24" fillId="0" borderId="0" xfId="0" applyNumberFormat="1" applyFont="1"/>
    <xf numFmtId="0" fontId="25" fillId="0" borderId="0" xfId="0" applyFont="1"/>
    <xf numFmtId="184" fontId="12" fillId="6" borderId="0" xfId="0" applyNumberFormat="1" applyFont="1" applyFill="1"/>
    <xf numFmtId="179" fontId="12" fillId="6" borderId="0" xfId="0" applyNumberFormat="1" applyFont="1" applyFill="1"/>
    <xf numFmtId="185" fontId="12" fillId="6" borderId="0" xfId="0" applyNumberFormat="1" applyFont="1" applyFill="1"/>
    <xf numFmtId="176" fontId="12" fillId="6" borderId="0" xfId="0" applyNumberFormat="1" applyFont="1" applyFill="1"/>
    <xf numFmtId="184" fontId="13" fillId="0" borderId="0" xfId="0" applyNumberFormat="1" applyFont="1"/>
    <xf numFmtId="179" fontId="13" fillId="0" borderId="0" xfId="0" applyNumberFormat="1" applyFont="1"/>
    <xf numFmtId="185" fontId="13" fillId="0" borderId="0" xfId="0" applyNumberFormat="1" applyFont="1"/>
    <xf numFmtId="176" fontId="13" fillId="0" borderId="0" xfId="0" applyNumberFormat="1" applyFont="1"/>
    <xf numFmtId="9" fontId="15" fillId="0" borderId="0" xfId="0" applyNumberFormat="1" applyFont="1"/>
    <xf numFmtId="9" fontId="21" fillId="0" borderId="0" xfId="0" applyNumberFormat="1" applyFont="1"/>
    <xf numFmtId="9" fontId="0" fillId="0" borderId="0" xfId="0" applyNumberFormat="1"/>
    <xf numFmtId="3" fontId="27" fillId="0" borderId="0" xfId="0" applyNumberFormat="1" applyFont="1"/>
    <xf numFmtId="9" fontId="27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workbookViewId="0">
      <selection activeCell="J8" sqref="J8"/>
    </sheetView>
  </sheetViews>
  <sheetFormatPr baseColWidth="10" defaultColWidth="8.83203125" defaultRowHeight="14"/>
  <cols>
    <col min="1" max="1" width="32" customWidth="1"/>
    <col min="2" max="17" width="9" customWidth="1"/>
    <col min="20" max="24" width="11" customWidth="1"/>
  </cols>
  <sheetData>
    <row r="1" spans="1:24" ht="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6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2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6" t="s">
        <v>18</v>
      </c>
      <c r="R5" s="2"/>
      <c r="S5" s="2"/>
      <c r="T5" s="5" t="s">
        <v>19</v>
      </c>
      <c r="U5" s="5" t="s">
        <v>20</v>
      </c>
      <c r="V5" s="7" t="s">
        <v>21</v>
      </c>
      <c r="W5" s="7" t="s">
        <v>22</v>
      </c>
      <c r="X5" s="7" t="s">
        <v>23</v>
      </c>
    </row>
    <row r="6" spans="1:24">
      <c r="A6" s="8" t="s">
        <v>24</v>
      </c>
      <c r="B6" s="88"/>
      <c r="C6" s="88">
        <f>FS!C4/FS!B4-1</f>
        <v>1.6226336592469304E-2</v>
      </c>
      <c r="D6" s="88">
        <f>FS!D4/FS!C4-1</f>
        <v>3.1985670419651946E-2</v>
      </c>
      <c r="E6" s="88">
        <f>FS!E4/FS!D4-1</f>
        <v>-7.2898586660055109E-3</v>
      </c>
      <c r="F6" s="88">
        <f>FS!F4/FS!E4-1</f>
        <v>-4.4959536417221724E-4</v>
      </c>
      <c r="G6" s="88">
        <f>FS!G4/FS!F4-1</f>
        <v>4.7828477185266616E-2</v>
      </c>
      <c r="H6" s="88">
        <f>FS!H4/FS!G4-1</f>
        <v>0.1094629399980922</v>
      </c>
      <c r="I6" s="88">
        <f>FS!I4/FS!H4-1</f>
        <v>0.16499720562314613</v>
      </c>
      <c r="J6" s="9">
        <v>10</v>
      </c>
      <c r="K6" s="9">
        <v>-3</v>
      </c>
      <c r="L6" s="9">
        <v>5</v>
      </c>
      <c r="M6" s="9">
        <v>3</v>
      </c>
      <c r="N6" s="9">
        <v>0</v>
      </c>
      <c r="O6" s="9">
        <v>0</v>
      </c>
      <c r="P6" s="9">
        <v>6.8</v>
      </c>
      <c r="Q6" s="9">
        <v>2.9</v>
      </c>
      <c r="R6" s="2"/>
      <c r="S6" s="2"/>
      <c r="T6" s="2"/>
      <c r="U6" s="2"/>
      <c r="V6" s="2"/>
      <c r="W6" s="2"/>
      <c r="X6" s="2"/>
    </row>
    <row r="7" spans="1:2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>
      <c r="A8" s="8" t="s">
        <v>25</v>
      </c>
      <c r="B8" s="88">
        <f>FS!B9/FS!B4</f>
        <v>0.24516330351570625</v>
      </c>
      <c r="C8" s="88">
        <f>FS!C9/FS!C4</f>
        <v>0.22159672466734903</v>
      </c>
      <c r="D8" s="88">
        <f>FS!D9/FS!D4</f>
        <v>0.23530870319861147</v>
      </c>
      <c r="E8" s="88">
        <f>FS!E9/FS!E4</f>
        <v>0.22210010990108903</v>
      </c>
      <c r="F8" s="88">
        <f>FS!F9/FS!F4</f>
        <v>0.23149582687790493</v>
      </c>
      <c r="G8" s="88">
        <f>FS!G9/FS!G4</f>
        <v>0.22312315176953162</v>
      </c>
      <c r="H8" s="88">
        <f>FS!H9/FS!H4</f>
        <v>0.22780619921757447</v>
      </c>
      <c r="I8" s="88">
        <f>FS!I9/FS!I4</f>
        <v>0.2730359053839625</v>
      </c>
      <c r="J8" s="10">
        <v>29</v>
      </c>
      <c r="K8" s="10">
        <v>25</v>
      </c>
      <c r="L8" s="10">
        <v>28</v>
      </c>
      <c r="M8" s="10">
        <v>27</v>
      </c>
      <c r="N8" s="10">
        <v>27</v>
      </c>
      <c r="O8" s="10">
        <v>27</v>
      </c>
      <c r="P8" s="10">
        <v>27</v>
      </c>
      <c r="Q8" s="10">
        <v>24.49</v>
      </c>
      <c r="R8" s="2"/>
      <c r="S8" s="2"/>
      <c r="T8" s="2"/>
      <c r="U8" s="2"/>
      <c r="V8" s="2"/>
      <c r="W8" s="2"/>
      <c r="X8" s="2"/>
    </row>
    <row r="9" spans="1:24">
      <c r="A9" s="2" t="s">
        <v>527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6">
      <c r="A11" s="4" t="s">
        <v>26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11"/>
      <c r="B12" s="5" t="s">
        <v>3</v>
      </c>
      <c r="C12" s="5" t="s">
        <v>4</v>
      </c>
      <c r="D12" s="5" t="s">
        <v>5</v>
      </c>
      <c r="E12" s="5" t="s">
        <v>6</v>
      </c>
      <c r="F12" s="5" t="s">
        <v>7</v>
      </c>
      <c r="G12" s="5" t="s">
        <v>8</v>
      </c>
      <c r="H12" s="5" t="s">
        <v>9</v>
      </c>
      <c r="I12" s="5" t="s">
        <v>10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5" t="s">
        <v>19</v>
      </c>
      <c r="U12" s="5" t="s">
        <v>20</v>
      </c>
      <c r="V12" s="7" t="s">
        <v>21</v>
      </c>
      <c r="W12" s="2"/>
      <c r="X12" s="2"/>
    </row>
    <row r="13" spans="1:24">
      <c r="A13" s="8" t="s">
        <v>24</v>
      </c>
      <c r="B13" s="12">
        <v>1922.8</v>
      </c>
      <c r="C13" s="12">
        <v>1953.99</v>
      </c>
      <c r="D13" s="12">
        <v>2016.48</v>
      </c>
      <c r="E13" s="12">
        <v>2001.8</v>
      </c>
      <c r="F13" s="12">
        <v>2000.92</v>
      </c>
      <c r="G13" s="12">
        <v>2096.61</v>
      </c>
      <c r="H13" s="12">
        <v>2326.08</v>
      </c>
      <c r="I13" s="12">
        <v>2709.87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13">
        <f>IF(COUNT(B13:D13)=0,"",SUM(B13:D13))</f>
        <v>5893.27</v>
      </c>
      <c r="U13" s="13">
        <f>IF(COUNT(E13:H13)=0,"",SUM(E13:H13))</f>
        <v>8425.41</v>
      </c>
      <c r="V13" s="13">
        <f>IF(COUNT(I13:L13)=0,"",SUM(I13:L13))</f>
        <v>2709.87</v>
      </c>
      <c r="W13" s="13" t="str">
        <f>IF(COUNT(M13:P13)=0,"",SUM(M13:P13))</f>
        <v/>
      </c>
      <c r="X13" s="13" t="str">
        <f>IF(COUNT(Q13:Q13)=0,"",SUM(Q13:Q13))</f>
        <v/>
      </c>
    </row>
    <row r="14" spans="1:24">
      <c r="A14" s="8" t="s">
        <v>27</v>
      </c>
      <c r="B14" s="14">
        <f t="shared" ref="B14:I14" si="0">SUM(B13:B13)</f>
        <v>1922.8</v>
      </c>
      <c r="C14" s="14">
        <f t="shared" si="0"/>
        <v>1953.99</v>
      </c>
      <c r="D14" s="14">
        <f t="shared" si="0"/>
        <v>2016.48</v>
      </c>
      <c r="E14" s="14">
        <f t="shared" si="0"/>
        <v>2001.8</v>
      </c>
      <c r="F14" s="14">
        <f t="shared" si="0"/>
        <v>2000.92</v>
      </c>
      <c r="G14" s="14">
        <f t="shared" si="0"/>
        <v>2096.61</v>
      </c>
      <c r="H14" s="14">
        <f t="shared" si="0"/>
        <v>2326.08</v>
      </c>
      <c r="I14" s="14">
        <f t="shared" si="0"/>
        <v>2709.87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15">
        <f>IF(COUNT(B14:D14)=0,"",SUM(B14:D14))</f>
        <v>5893.27</v>
      </c>
      <c r="U14" s="15">
        <f>IF(COUNT(E14:H14)=0,"",SUM(E14:H14))</f>
        <v>8425.41</v>
      </c>
      <c r="V14" s="15">
        <f>IF(COUNT(I14:L14)=0,"",SUM(I14:L14))</f>
        <v>2709.87</v>
      </c>
      <c r="W14" s="15" t="str">
        <f>IF(COUNT(M14:P14)=0,"",SUM(M14:P14))</f>
        <v/>
      </c>
      <c r="X14" s="15" t="str">
        <f>IF(COUNT(Q14:Q14)=0,"",SUM(Q14:Q14))</f>
        <v/>
      </c>
    </row>
    <row r="15" spans="1:2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8" t="s">
        <v>28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2" t="s">
        <v>29</v>
      </c>
      <c r="B17" s="12">
        <v>471.4</v>
      </c>
      <c r="C17" s="12">
        <v>433</v>
      </c>
      <c r="D17" s="12">
        <v>474.5</v>
      </c>
      <c r="E17" s="12">
        <v>444.6</v>
      </c>
      <c r="F17" s="12">
        <v>463.2</v>
      </c>
      <c r="G17" s="12">
        <v>467.8</v>
      </c>
      <c r="H17" s="12">
        <v>529.9</v>
      </c>
      <c r="I17" s="12">
        <v>739.9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13">
        <f>IF(COUNT(B17:D17)=0,"",SUM(B17:D17))</f>
        <v>1378.9</v>
      </c>
      <c r="U17" s="13">
        <f>IF(COUNT(E17:H17)=0,"",SUM(E17:H17))</f>
        <v>1905.5</v>
      </c>
      <c r="V17" s="13">
        <f>IF(COUNT(I17:L17)=0,"",SUM(I17:L17))</f>
        <v>739.9</v>
      </c>
      <c r="W17" s="13" t="str">
        <f>IF(COUNT(M17:P17)=0,"",SUM(M17:P17))</f>
        <v/>
      </c>
      <c r="X17" s="13" t="str">
        <f>IF(COUNT(Q17:Q17)=0,"",SUM(Q17:Q17))</f>
        <v/>
      </c>
    </row>
    <row r="18" spans="1:24">
      <c r="A18" s="8" t="s">
        <v>30</v>
      </c>
      <c r="B18" s="14">
        <f t="shared" ref="B18:I18" si="1">SUM(B17:B17)</f>
        <v>471.4</v>
      </c>
      <c r="C18" s="14">
        <f t="shared" si="1"/>
        <v>433</v>
      </c>
      <c r="D18" s="14">
        <f t="shared" si="1"/>
        <v>474.5</v>
      </c>
      <c r="E18" s="14">
        <f t="shared" si="1"/>
        <v>444.6</v>
      </c>
      <c r="F18" s="14">
        <f t="shared" si="1"/>
        <v>463.2</v>
      </c>
      <c r="G18" s="14">
        <f t="shared" si="1"/>
        <v>467.8</v>
      </c>
      <c r="H18" s="14">
        <f t="shared" si="1"/>
        <v>529.9</v>
      </c>
      <c r="I18" s="14">
        <f t="shared" si="1"/>
        <v>739.9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15">
        <f>IF(COUNT(B18:D18)=0,"",SUM(B18:D18))</f>
        <v>1378.9</v>
      </c>
      <c r="U18" s="15">
        <f>IF(COUNT(E18:H18)=0,"",SUM(E18:H18))</f>
        <v>1905.5</v>
      </c>
      <c r="V18" s="15">
        <f>IF(COUNT(I18:L18)=0,"",SUM(I18:L18))</f>
        <v>739.9</v>
      </c>
      <c r="W18" s="15" t="str">
        <f>IF(COUNT(M18:P18)=0,"",SUM(M18:P18))</f>
        <v/>
      </c>
      <c r="X18" s="15" t="str">
        <f>IF(COUNT(Q18:Q18)=0,"",SUM(Q18:Q18))</f>
        <v/>
      </c>
    </row>
    <row r="19" spans="1:2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6">
      <c r="A20" s="4" t="s">
        <v>31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11"/>
      <c r="B21" s="5" t="s">
        <v>3</v>
      </c>
      <c r="C21" s="5" t="s">
        <v>4</v>
      </c>
      <c r="D21" s="5" t="s">
        <v>5</v>
      </c>
      <c r="E21" s="5" t="s">
        <v>6</v>
      </c>
      <c r="F21" s="5" t="s">
        <v>7</v>
      </c>
      <c r="G21" s="5" t="s">
        <v>8</v>
      </c>
      <c r="H21" s="5" t="s">
        <v>9</v>
      </c>
      <c r="I21" s="5" t="s">
        <v>10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5" t="s">
        <v>19</v>
      </c>
      <c r="U21" s="5" t="s">
        <v>20</v>
      </c>
      <c r="V21" s="7" t="s">
        <v>21</v>
      </c>
      <c r="W21" s="2"/>
      <c r="X21" s="2"/>
    </row>
    <row r="22" spans="1:24">
      <c r="A22" s="2" t="s">
        <v>32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13" t="str">
        <f t="shared" ref="T22:T28" si="2">IF(COUNT(B22:D22)=0,"",SUM(B22:D22))</f>
        <v/>
      </c>
      <c r="U22" s="13" t="str">
        <f t="shared" ref="U22:U28" si="3">IF(COUNT(E22:H22)=0,"",SUM(E22:H22))</f>
        <v/>
      </c>
      <c r="V22" s="13" t="str">
        <f t="shared" ref="V22:V28" si="4">IF(COUNT(I22:L22)=0,"",SUM(I22:L22))</f>
        <v/>
      </c>
      <c r="W22" s="13" t="str">
        <f t="shared" ref="W22:W28" si="5">IF(COUNT(M22:P22)=0,"",SUM(M22:P22))</f>
        <v/>
      </c>
      <c r="X22" s="13" t="str">
        <f t="shared" ref="X22:X28" si="6">IF(COUNT(Q22:Q22)=0,"",SUM(Q22:Q22))</f>
        <v/>
      </c>
    </row>
    <row r="23" spans="1:24">
      <c r="A23" s="2" t="s">
        <v>33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13" t="str">
        <f t="shared" si="2"/>
        <v/>
      </c>
      <c r="U23" s="13" t="str">
        <f t="shared" si="3"/>
        <v/>
      </c>
      <c r="V23" s="13" t="str">
        <f t="shared" si="4"/>
        <v/>
      </c>
      <c r="W23" s="13" t="str">
        <f t="shared" si="5"/>
        <v/>
      </c>
      <c r="X23" s="13" t="str">
        <f t="shared" si="6"/>
        <v/>
      </c>
    </row>
    <row r="24" spans="1:24">
      <c r="A24" s="2" t="s">
        <v>34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3" t="str">
        <f t="shared" si="2"/>
        <v/>
      </c>
      <c r="U24" s="13" t="str">
        <f t="shared" si="3"/>
        <v/>
      </c>
      <c r="V24" s="13" t="str">
        <f t="shared" si="4"/>
        <v/>
      </c>
      <c r="W24" s="13" t="str">
        <f t="shared" si="5"/>
        <v/>
      </c>
      <c r="X24" s="13" t="str">
        <f t="shared" si="6"/>
        <v/>
      </c>
    </row>
    <row r="25" spans="1:24">
      <c r="A25" s="2" t="s">
        <v>35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3" t="str">
        <f t="shared" si="2"/>
        <v/>
      </c>
      <c r="U25" s="13" t="str">
        <f t="shared" si="3"/>
        <v/>
      </c>
      <c r="V25" s="13" t="str">
        <f t="shared" si="4"/>
        <v/>
      </c>
      <c r="W25" s="13" t="str">
        <f t="shared" si="5"/>
        <v/>
      </c>
      <c r="X25" s="13" t="str">
        <f t="shared" si="6"/>
        <v/>
      </c>
    </row>
    <row r="26" spans="1:24">
      <c r="A26" s="2" t="s">
        <v>36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3" t="str">
        <f t="shared" si="2"/>
        <v/>
      </c>
      <c r="U26" s="13" t="str">
        <f t="shared" si="3"/>
        <v/>
      </c>
      <c r="V26" s="13" t="str">
        <f t="shared" si="4"/>
        <v/>
      </c>
      <c r="W26" s="13" t="str">
        <f t="shared" si="5"/>
        <v/>
      </c>
      <c r="X26" s="13" t="str">
        <f t="shared" si="6"/>
        <v/>
      </c>
    </row>
    <row r="27" spans="1:24">
      <c r="A27" s="2" t="s">
        <v>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3" t="str">
        <f t="shared" si="2"/>
        <v/>
      </c>
      <c r="U27" s="13" t="str">
        <f t="shared" si="3"/>
        <v/>
      </c>
      <c r="V27" s="13" t="str">
        <f t="shared" si="4"/>
        <v/>
      </c>
      <c r="W27" s="13" t="str">
        <f t="shared" si="5"/>
        <v/>
      </c>
      <c r="X27" s="13" t="str">
        <f t="shared" si="6"/>
        <v/>
      </c>
    </row>
    <row r="28" spans="1:24">
      <c r="A28" s="8" t="s">
        <v>27</v>
      </c>
      <c r="B28" s="14">
        <f t="shared" ref="B28:I28" si="7">SUM(B22:B27)</f>
        <v>0</v>
      </c>
      <c r="C28" s="14">
        <f t="shared" si="7"/>
        <v>0</v>
      </c>
      <c r="D28" s="14">
        <f t="shared" si="7"/>
        <v>0</v>
      </c>
      <c r="E28" s="14">
        <f t="shared" si="7"/>
        <v>0</v>
      </c>
      <c r="F28" s="14">
        <f t="shared" si="7"/>
        <v>0</v>
      </c>
      <c r="G28" s="14">
        <f t="shared" si="7"/>
        <v>0</v>
      </c>
      <c r="H28" s="14">
        <f t="shared" si="7"/>
        <v>0</v>
      </c>
      <c r="I28" s="14">
        <f t="shared" si="7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15">
        <f t="shared" si="2"/>
        <v>0</v>
      </c>
      <c r="U28" s="15">
        <f t="shared" si="3"/>
        <v>0</v>
      </c>
      <c r="V28" s="15">
        <f t="shared" si="4"/>
        <v>0</v>
      </c>
      <c r="W28" s="15" t="str">
        <f t="shared" si="5"/>
        <v/>
      </c>
      <c r="X28" s="15" t="str">
        <f t="shared" si="6"/>
        <v/>
      </c>
    </row>
    <row r="29" spans="1:2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6">
      <c r="A31" s="4" t="s">
        <v>38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 s="8" t="s">
        <v>39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>
      <c r="A33" s="11" t="s">
        <v>40</v>
      </c>
      <c r="B33" s="11" t="s">
        <v>41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2" t="s">
        <v>24</v>
      </c>
      <c r="B34" s="16">
        <v>0.24099999999999999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>
      <c r="A36" s="8" t="s">
        <v>42</v>
      </c>
      <c r="B36" s="17">
        <v>0.19500000000000001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</sheetData>
  <phoneticPr fontId="2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A5F"/>
  </sheetPr>
  <dimension ref="A1:AA101"/>
  <sheetViews>
    <sheetView workbookViewId="0">
      <pane xSplit="1" ySplit="3" topLeftCell="B4" activePane="bottomRight" state="frozen"/>
      <selection pane="topRight"/>
      <selection pane="bottomLeft"/>
      <selection pane="bottomRight" activeCell="I32" sqref="C32:I32"/>
    </sheetView>
  </sheetViews>
  <sheetFormatPr baseColWidth="10" defaultColWidth="8.83203125" defaultRowHeight="14"/>
  <cols>
    <col min="1" max="1" width="46" customWidth="1"/>
    <col min="2" max="17" width="12" customWidth="1"/>
    <col min="20" max="25" width="13" customWidth="1"/>
    <col min="26" max="26" width="14" customWidth="1"/>
    <col min="27" max="27" width="48" customWidth="1"/>
  </cols>
  <sheetData>
    <row r="1" spans="1:27">
      <c r="A1" s="18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2"/>
      <c r="B2" s="2"/>
      <c r="C2" s="88"/>
      <c r="D2" s="88"/>
      <c r="E2" s="88"/>
      <c r="F2" s="88"/>
      <c r="G2" s="88"/>
      <c r="H2" s="88"/>
      <c r="I2" s="8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11" t="s">
        <v>44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2"/>
      <c r="S3" s="2"/>
      <c r="T3" s="5" t="s">
        <v>19</v>
      </c>
      <c r="U3" s="5" t="s">
        <v>20</v>
      </c>
      <c r="V3" s="7" t="s">
        <v>21</v>
      </c>
      <c r="W3" s="7" t="s">
        <v>22</v>
      </c>
      <c r="X3" s="7" t="s">
        <v>23</v>
      </c>
      <c r="Y3" s="7" t="s">
        <v>45</v>
      </c>
      <c r="Z3" s="7" t="s">
        <v>46</v>
      </c>
      <c r="AA3" s="19" t="s">
        <v>47</v>
      </c>
    </row>
    <row r="4" spans="1:27">
      <c r="A4" s="8" t="s">
        <v>48</v>
      </c>
      <c r="B4" s="12">
        <v>1922.8</v>
      </c>
      <c r="C4" s="12">
        <v>1954</v>
      </c>
      <c r="D4" s="12">
        <v>2016.5</v>
      </c>
      <c r="E4" s="12">
        <v>2001.8</v>
      </c>
      <c r="F4" s="12">
        <v>2000.9</v>
      </c>
      <c r="G4" s="12">
        <v>2096.6</v>
      </c>
      <c r="H4" s="12">
        <v>2326.1</v>
      </c>
      <c r="I4" s="12">
        <v>2709.9</v>
      </c>
      <c r="J4" s="13">
        <f>I4*(1+-2.47/100)</f>
        <v>2642.9654700000001</v>
      </c>
      <c r="K4" s="13">
        <f>J4*(1+-0.1/100)</f>
        <v>2640.3225045300001</v>
      </c>
      <c r="L4" s="13">
        <f>K4*(1+6.85/100)</f>
        <v>2821.1845960903051</v>
      </c>
      <c r="M4" s="13">
        <f>L4*(1+2.9/100)</f>
        <v>2902.998949376924</v>
      </c>
      <c r="N4" s="13">
        <f>M4*(1+-2.47/100)</f>
        <v>2831.294875327314</v>
      </c>
      <c r="O4" s="13">
        <f>N4*(1+-0.16/100)</f>
        <v>2826.7648035267903</v>
      </c>
      <c r="P4" s="13">
        <f>O4*(1+6.8/100)</f>
        <v>3018.9848101666121</v>
      </c>
      <c r="Q4" s="13">
        <f>P4*(1+2.9/100)</f>
        <v>3106.5353696614434</v>
      </c>
      <c r="R4" s="2"/>
      <c r="S4" s="2"/>
      <c r="T4" s="15">
        <f>IF(COUNTBLANK(B4:D4)&gt;0,"",SUM(B4:D4))</f>
        <v>5893.3</v>
      </c>
      <c r="U4" s="15">
        <f>IF(COUNTBLANK(E4:H4)&gt;0,"",SUM(E4:H4))</f>
        <v>8425.4</v>
      </c>
      <c r="V4" s="15">
        <f>IF(COUNTBLANK(I4:L4)&gt;0,"",SUM(I4:L4))</f>
        <v>10814.372570620306</v>
      </c>
      <c r="W4" s="15">
        <f>IF(COUNTBLANK(M4:P4)&gt;0,"",SUM(M4:P4))</f>
        <v>11580.043438397641</v>
      </c>
      <c r="X4" s="15">
        <f>IF(COUNTBLANK(Q4:Q4)&gt;0,"",SUM(Q4:Q4))</f>
        <v>3106.5353696614434</v>
      </c>
      <c r="Y4" s="12">
        <v>10000</v>
      </c>
      <c r="Z4" s="20">
        <f>(J4+K4+L4+I4)/Y4-1</f>
        <v>8.143725706203031E-2</v>
      </c>
      <c r="AA4" s="21" t="s">
        <v>49</v>
      </c>
    </row>
    <row r="5" spans="1:27">
      <c r="A5" s="8" t="s">
        <v>50</v>
      </c>
      <c r="B5" s="22">
        <f t="shared" ref="B5:Q5" si="0">B4-B6</f>
        <v>1034.3</v>
      </c>
      <c r="C5" s="22">
        <f t="shared" si="0"/>
        <v>1089.3</v>
      </c>
      <c r="D5" s="22">
        <f t="shared" si="0"/>
        <v>1106.0999999999999</v>
      </c>
      <c r="E5" s="22">
        <f t="shared" si="0"/>
        <v>1115.3</v>
      </c>
      <c r="F5" s="22">
        <f t="shared" si="0"/>
        <v>1077</v>
      </c>
      <c r="G5" s="22">
        <f t="shared" si="0"/>
        <v>1141.8</v>
      </c>
      <c r="H5" s="22">
        <f t="shared" si="0"/>
        <v>1276.8</v>
      </c>
      <c r="I5" s="22">
        <f t="shared" si="0"/>
        <v>1440.6000000000001</v>
      </c>
      <c r="J5" s="13">
        <f t="shared" si="0"/>
        <v>1321.482735</v>
      </c>
      <c r="K5" s="13">
        <f t="shared" si="0"/>
        <v>1425.7741524462001</v>
      </c>
      <c r="L5" s="13">
        <f t="shared" si="0"/>
        <v>1438.8041440060556</v>
      </c>
      <c r="M5" s="13">
        <f t="shared" si="0"/>
        <v>1553.1044379166542</v>
      </c>
      <c r="N5" s="13">
        <f t="shared" si="0"/>
        <v>1514.7427583001131</v>
      </c>
      <c r="O5" s="13">
        <f t="shared" si="0"/>
        <v>1512.3191698868327</v>
      </c>
      <c r="P5" s="13">
        <f t="shared" si="0"/>
        <v>1615.1568734391374</v>
      </c>
      <c r="Q5" s="13">
        <f t="shared" si="0"/>
        <v>1739.9704605473744</v>
      </c>
      <c r="R5" s="2"/>
      <c r="S5" s="2"/>
      <c r="T5" s="13">
        <f>IF(COUNTBLANK(B5:D5)&gt;0,"",SUM(B5:D5))</f>
        <v>3229.7</v>
      </c>
      <c r="U5" s="13">
        <f>IF(COUNTBLANK(E5:H5)&gt;0,"",SUM(E5:H5))</f>
        <v>4610.9000000000005</v>
      </c>
      <c r="V5" s="13">
        <f>IF(COUNTBLANK(I5:L5)&gt;0,"",SUM(I5:L5))</f>
        <v>5626.661031452255</v>
      </c>
      <c r="W5" s="13">
        <f>IF(COUNTBLANK(M5:P5)&gt;0,"",SUM(M5:P5))</f>
        <v>6195.3232395427376</v>
      </c>
      <c r="X5" s="13">
        <f>IF(COUNTBLANK(Q5:Q5)&gt;0,"",SUM(Q5:Q5))</f>
        <v>1739.9704605473744</v>
      </c>
      <c r="Y5" s="2"/>
      <c r="Z5" s="2"/>
      <c r="AA5" s="21" t="s">
        <v>51</v>
      </c>
    </row>
    <row r="6" spans="1:27">
      <c r="A6" s="8" t="s">
        <v>52</v>
      </c>
      <c r="B6" s="12">
        <v>888.5</v>
      </c>
      <c r="C6" s="12">
        <v>864.7</v>
      </c>
      <c r="D6" s="12">
        <v>910.4</v>
      </c>
      <c r="E6" s="12">
        <v>886.5</v>
      </c>
      <c r="F6" s="12">
        <v>923.9</v>
      </c>
      <c r="G6" s="12">
        <v>954.8</v>
      </c>
      <c r="H6" s="12">
        <v>1049.3</v>
      </c>
      <c r="I6" s="12">
        <v>1269.3</v>
      </c>
      <c r="J6" s="13">
        <f t="shared" ref="J6:Q6" si="1">J9+J8</f>
        <v>1321.482735</v>
      </c>
      <c r="K6" s="13">
        <f t="shared" si="1"/>
        <v>1214.5483520838</v>
      </c>
      <c r="L6" s="13">
        <f t="shared" si="1"/>
        <v>1382.3804520842496</v>
      </c>
      <c r="M6" s="13">
        <f t="shared" si="1"/>
        <v>1349.8945114602698</v>
      </c>
      <c r="N6" s="13">
        <f t="shared" si="1"/>
        <v>1316.5521170272009</v>
      </c>
      <c r="O6" s="13">
        <f t="shared" si="1"/>
        <v>1314.4456336399576</v>
      </c>
      <c r="P6" s="13">
        <f t="shared" si="1"/>
        <v>1403.8279367274747</v>
      </c>
      <c r="Q6" s="13">
        <f t="shared" si="1"/>
        <v>1366.564909114069</v>
      </c>
      <c r="R6" s="2"/>
      <c r="S6" s="2"/>
      <c r="T6" s="13">
        <f>IF(COUNTBLANK(B6:D6)&gt;0,"",SUM(B6:D6))</f>
        <v>2663.6</v>
      </c>
      <c r="U6" s="13">
        <f>IF(COUNTBLANK(E6:H6)&gt;0,"",SUM(E6:H6))</f>
        <v>3814.5</v>
      </c>
      <c r="V6" s="13">
        <f>IF(COUNTBLANK(I6:L6)&gt;0,"",SUM(I6:L6))</f>
        <v>5187.7115391680491</v>
      </c>
      <c r="W6" s="13">
        <f>IF(COUNTBLANK(M6:P6)&gt;0,"",SUM(M6:P6))</f>
        <v>5384.7201988549032</v>
      </c>
      <c r="X6" s="13">
        <f>IF(COUNTBLANK(Q6:Q6)&gt;0,"",SUM(Q6:Q6))</f>
        <v>1366.564909114069</v>
      </c>
      <c r="Y6" s="2"/>
      <c r="Z6" s="2"/>
      <c r="AA6" s="21" t="s">
        <v>53</v>
      </c>
    </row>
    <row r="7" spans="1:27">
      <c r="A7" s="2" t="s">
        <v>54</v>
      </c>
      <c r="B7" s="23">
        <f t="shared" ref="B7:Q7" si="2">B6/B4*100</f>
        <v>46.208654046182652</v>
      </c>
      <c r="C7" s="23">
        <f t="shared" si="2"/>
        <v>44.252814738996932</v>
      </c>
      <c r="D7" s="23">
        <f t="shared" si="2"/>
        <v>45.147532853954871</v>
      </c>
      <c r="E7" s="23">
        <f t="shared" si="2"/>
        <v>44.285143370966132</v>
      </c>
      <c r="F7" s="23">
        <f t="shared" si="2"/>
        <v>46.174221600279871</v>
      </c>
      <c r="G7" s="23">
        <f t="shared" si="2"/>
        <v>45.540398740818468</v>
      </c>
      <c r="H7" s="23">
        <f t="shared" si="2"/>
        <v>45.109840505567256</v>
      </c>
      <c r="I7" s="23">
        <f t="shared" si="2"/>
        <v>46.839366766301339</v>
      </c>
      <c r="J7" s="23">
        <f t="shared" si="2"/>
        <v>50</v>
      </c>
      <c r="K7" s="23">
        <f t="shared" si="2"/>
        <v>46</v>
      </c>
      <c r="L7" s="23">
        <f t="shared" si="2"/>
        <v>49</v>
      </c>
      <c r="M7" s="23">
        <f t="shared" si="2"/>
        <v>46.5</v>
      </c>
      <c r="N7" s="23">
        <f t="shared" si="2"/>
        <v>46.5</v>
      </c>
      <c r="O7" s="23">
        <f t="shared" si="2"/>
        <v>46.5</v>
      </c>
      <c r="P7" s="23">
        <f t="shared" si="2"/>
        <v>46.5</v>
      </c>
      <c r="Q7" s="23">
        <f t="shared" si="2"/>
        <v>43.99</v>
      </c>
      <c r="R7" s="2"/>
      <c r="S7" s="2"/>
      <c r="T7" s="24">
        <f>IF(OR(COUNTBLANK(B6:D6)&gt;0,COUNTBLANK(B4:D4)&gt;0),"",SUM(B6:D6)/SUM(B4:D4)*100)</f>
        <v>45.197088218824767</v>
      </c>
      <c r="U7" s="24">
        <f>IF(OR(COUNTBLANK(E6:H6)&gt;0,COUNTBLANK(E4:H4)&gt;0),"",SUM(E6:H6)/SUM(E4:H4)*100)</f>
        <v>45.273814893061456</v>
      </c>
      <c r="V7" s="24">
        <f>IF(OR(COUNTBLANK(I6:L6)&gt;0,COUNTBLANK(I4:L4)&gt;0),"",SUM(I6:L6)/SUM(I4:L4)*100)</f>
        <v>47.970527233929808</v>
      </c>
      <c r="W7" s="24">
        <f>IF(OR(COUNTBLANK(M6:P6)&gt;0,COUNTBLANK(M4:P4)&gt;0),"",SUM(M6:P6)/SUM(M4:P4)*100)</f>
        <v>46.5</v>
      </c>
      <c r="X7" s="24">
        <f>IF(OR(COUNTBLANK(Q6:Q6)&gt;0,COUNTBLANK(Q4:Q4)&gt;0),"",SUM(Q6:Q6)/SUM(Q4:Q4)*100)</f>
        <v>43.99</v>
      </c>
      <c r="Y7" s="2"/>
      <c r="Z7" s="2"/>
      <c r="AA7" s="21" t="s">
        <v>55</v>
      </c>
    </row>
    <row r="8" spans="1:27">
      <c r="A8" s="8" t="s">
        <v>56</v>
      </c>
      <c r="B8" s="22">
        <f t="shared" ref="B8:I8" si="3">B6-B9</f>
        <v>417.1</v>
      </c>
      <c r="C8" s="22">
        <f t="shared" si="3"/>
        <v>431.70000000000005</v>
      </c>
      <c r="D8" s="22">
        <f t="shared" si="3"/>
        <v>435.9</v>
      </c>
      <c r="E8" s="22">
        <f t="shared" si="3"/>
        <v>441.9</v>
      </c>
      <c r="F8" s="22">
        <f t="shared" si="3"/>
        <v>460.7</v>
      </c>
      <c r="G8" s="22">
        <f t="shared" si="3"/>
        <v>486.99999999999994</v>
      </c>
      <c r="H8" s="22">
        <f t="shared" si="3"/>
        <v>519.4</v>
      </c>
      <c r="I8" s="22">
        <f t="shared" si="3"/>
        <v>529.4</v>
      </c>
      <c r="J8" s="13">
        <f>J4*0.21</f>
        <v>555.02274869999997</v>
      </c>
      <c r="K8" s="13">
        <f t="shared" ref="K8:L8" si="4">K4*0.21</f>
        <v>554.46772595129994</v>
      </c>
      <c r="L8" s="13">
        <f t="shared" si="4"/>
        <v>592.44876517896409</v>
      </c>
      <c r="M8" s="13">
        <f t="shared" ref="M8:Q8" si="5">M4*0.195</f>
        <v>566.08479512850022</v>
      </c>
      <c r="N8" s="13">
        <f t="shared" si="5"/>
        <v>552.10250068882624</v>
      </c>
      <c r="O8" s="13">
        <f t="shared" si="5"/>
        <v>551.21913668772413</v>
      </c>
      <c r="P8" s="13">
        <f t="shared" si="5"/>
        <v>588.7020379824894</v>
      </c>
      <c r="Q8" s="13">
        <f t="shared" si="5"/>
        <v>605.77439708398151</v>
      </c>
      <c r="R8" s="2"/>
      <c r="S8" s="2"/>
      <c r="T8" s="13">
        <f>IF(COUNTBLANK(B8:D8)&gt;0,"",SUM(B8:D8))</f>
        <v>1284.7</v>
      </c>
      <c r="U8" s="13">
        <f>IF(COUNTBLANK(E8:H8)&gt;0,"",SUM(E8:H8))</f>
        <v>1909</v>
      </c>
      <c r="V8" s="13">
        <f>IF(COUNTBLANK(I8:L8)&gt;0,"",SUM(I8:L8))</f>
        <v>2231.339239830264</v>
      </c>
      <c r="W8" s="13">
        <f>IF(COUNTBLANK(M8:P8)&gt;0,"",SUM(M8:P8))</f>
        <v>2258.1084704875402</v>
      </c>
      <c r="X8" s="13">
        <f>IF(COUNTBLANK(Q8:Q8)&gt;0,"",SUM(Q8:Q8))</f>
        <v>605.77439708398151</v>
      </c>
      <c r="Y8" s="2"/>
      <c r="Z8" s="2"/>
      <c r="AA8" s="21" t="s">
        <v>57</v>
      </c>
    </row>
    <row r="9" spans="1:27">
      <c r="A9" s="8" t="s">
        <v>58</v>
      </c>
      <c r="B9" s="12">
        <v>471.4</v>
      </c>
      <c r="C9" s="12">
        <v>433</v>
      </c>
      <c r="D9" s="12">
        <v>474.5</v>
      </c>
      <c r="E9" s="12">
        <v>444.6</v>
      </c>
      <c r="F9" s="12">
        <v>463.2</v>
      </c>
      <c r="G9" s="12">
        <v>467.8</v>
      </c>
      <c r="H9" s="12">
        <v>529.9</v>
      </c>
      <c r="I9" s="12">
        <v>739.9</v>
      </c>
      <c r="J9" s="25">
        <f>J4*Drivers!J8/100</f>
        <v>766.45998629999997</v>
      </c>
      <c r="K9" s="25">
        <f>K4*Drivers!K8/100</f>
        <v>660.08062613250002</v>
      </c>
      <c r="L9" s="25">
        <f>L4*Drivers!L8/100</f>
        <v>789.93168690528546</v>
      </c>
      <c r="M9" s="25">
        <f>M4*Drivers!M8/100</f>
        <v>783.80971633176944</v>
      </c>
      <c r="N9" s="25">
        <f>N4*Drivers!N8/100</f>
        <v>764.44961633837477</v>
      </c>
      <c r="O9" s="25">
        <f>O4*Drivers!O8/100</f>
        <v>763.22649695223345</v>
      </c>
      <c r="P9" s="25">
        <f>P4*Drivers!P8/100</f>
        <v>815.12589874498531</v>
      </c>
      <c r="Q9" s="25">
        <f>Q4*Drivers!Q8/100</f>
        <v>760.79051203008737</v>
      </c>
      <c r="R9" s="2"/>
      <c r="S9" s="2"/>
      <c r="T9" s="15">
        <f>IF(COUNTBLANK(B9:D9)&gt;0,"",SUM(B9:D9))</f>
        <v>1378.9</v>
      </c>
      <c r="U9" s="15">
        <f>IF(COUNTBLANK(E9:H9)&gt;0,"",SUM(E9:H9))</f>
        <v>1905.5</v>
      </c>
      <c r="V9" s="15">
        <f>IF(COUNTBLANK(I9:L9)&gt;0,"",SUM(I9:L9))</f>
        <v>2956.3722993377855</v>
      </c>
      <c r="W9" s="15">
        <f>IF(COUNTBLANK(M9:P9)&gt;0,"",SUM(M9:P9))</f>
        <v>3126.611728367363</v>
      </c>
      <c r="X9" s="15">
        <f>IF(COUNTBLANK(Q9:Q9)&gt;0,"",SUM(Q9:Q9))</f>
        <v>760.79051203008737</v>
      </c>
      <c r="Y9" s="12">
        <v>2190</v>
      </c>
      <c r="Z9" s="20">
        <f>(J9+K9+L9+I9)/Y9-1</f>
        <v>0.34994168919533597</v>
      </c>
      <c r="AA9" s="21" t="s">
        <v>59</v>
      </c>
    </row>
    <row r="10" spans="1:27">
      <c r="A10" s="2" t="s">
        <v>60</v>
      </c>
      <c r="B10" s="23">
        <f t="shared" ref="B10:Q10" si="6">B9/B4*100</f>
        <v>24.516330351570627</v>
      </c>
      <c r="C10" s="23">
        <f t="shared" si="6"/>
        <v>22.159672466734904</v>
      </c>
      <c r="D10" s="23">
        <f t="shared" si="6"/>
        <v>23.530870319861148</v>
      </c>
      <c r="E10" s="23">
        <f t="shared" si="6"/>
        <v>22.210010990108902</v>
      </c>
      <c r="F10" s="23">
        <f t="shared" si="6"/>
        <v>23.149582687790492</v>
      </c>
      <c r="G10" s="23">
        <f t="shared" si="6"/>
        <v>22.312315176953163</v>
      </c>
      <c r="H10" s="23">
        <f t="shared" si="6"/>
        <v>22.780619921757449</v>
      </c>
      <c r="I10" s="23">
        <f t="shared" si="6"/>
        <v>27.30359053839625</v>
      </c>
      <c r="J10" s="23">
        <f t="shared" si="6"/>
        <v>28.999999999999996</v>
      </c>
      <c r="K10" s="23">
        <f t="shared" si="6"/>
        <v>25</v>
      </c>
      <c r="L10" s="23">
        <f t="shared" si="6"/>
        <v>28.000000000000004</v>
      </c>
      <c r="M10" s="23">
        <f t="shared" si="6"/>
        <v>26.999999999999996</v>
      </c>
      <c r="N10" s="23">
        <f t="shared" si="6"/>
        <v>27</v>
      </c>
      <c r="O10" s="23">
        <f t="shared" si="6"/>
        <v>27</v>
      </c>
      <c r="P10" s="23">
        <f t="shared" si="6"/>
        <v>27</v>
      </c>
      <c r="Q10" s="23">
        <f t="shared" si="6"/>
        <v>24.489999999999995</v>
      </c>
      <c r="R10" s="2"/>
      <c r="S10" s="2"/>
      <c r="T10" s="24">
        <f>IF(OR(COUNTBLANK(B9:D9)&gt;0,COUNTBLANK(B4:D4)&gt;0),"",SUM(B9:D9)/SUM(B4:D4)*100)</f>
        <v>23.397756774642392</v>
      </c>
      <c r="U10" s="24">
        <f>IF(OR(COUNTBLANK(E9:H9)&gt;0,COUNTBLANK(E4:H4)&gt;0),"",SUM(E9:H9)/SUM(E4:H4)*100)</f>
        <v>22.616136919315405</v>
      </c>
      <c r="V10" s="24">
        <f>IF(OR(COUNTBLANK(I9:L9)&gt;0,COUNTBLANK(I4:L4)&gt;0),"",SUM(I9:L9)/SUM(I4:L4)*100)</f>
        <v>27.3374371007842</v>
      </c>
      <c r="W10" s="24">
        <f>IF(OR(COUNTBLANK(M9:P9)&gt;0,COUNTBLANK(M4:P4)&gt;0),"",SUM(M9:P9)/SUM(M4:P4)*100)</f>
        <v>27</v>
      </c>
      <c r="X10" s="24">
        <f>IF(OR(COUNTBLANK(Q9:Q9)&gt;0,COUNTBLANK(Q4:Q4)&gt;0),"",SUM(Q9:Q9)/SUM(Q4:Q4)*100)</f>
        <v>24.489999999999995</v>
      </c>
      <c r="Y10" s="9">
        <v>21.9</v>
      </c>
      <c r="Z10" s="23">
        <f>(J9+K9+L9+M9)/(J4+K4+L4+M4)*100-Y10</f>
        <v>5.3567774553761467</v>
      </c>
      <c r="AA10" s="21" t="s">
        <v>61</v>
      </c>
    </row>
    <row r="11" spans="1:27">
      <c r="A11" s="8" t="s">
        <v>62</v>
      </c>
      <c r="B11" s="22">
        <f t="shared" ref="B11:I11" si="7">B12-B9</f>
        <v>-112.59999999999997</v>
      </c>
      <c r="C11" s="22">
        <f t="shared" si="7"/>
        <v>193.5</v>
      </c>
      <c r="D11" s="22">
        <f t="shared" si="7"/>
        <v>-29.800000000000011</v>
      </c>
      <c r="E11" s="22">
        <f t="shared" si="7"/>
        <v>50.5</v>
      </c>
      <c r="F11" s="22">
        <f t="shared" si="7"/>
        <v>147.19999999999999</v>
      </c>
      <c r="G11" s="22">
        <f t="shared" si="7"/>
        <v>149.40000000000003</v>
      </c>
      <c r="H11" s="22">
        <f t="shared" si="7"/>
        <v>117.20000000000005</v>
      </c>
      <c r="I11" s="22">
        <f t="shared" si="7"/>
        <v>198.30000000000007</v>
      </c>
      <c r="J11" s="26">
        <v>0</v>
      </c>
      <c r="K11" s="26">
        <v>0</v>
      </c>
      <c r="L11" s="26">
        <v>0</v>
      </c>
      <c r="M11" s="26">
        <f>M9*FS!$B$86/100</f>
        <v>164.60004042967157</v>
      </c>
      <c r="N11" s="26">
        <f>N9*FS!$B$86/100</f>
        <v>160.53441943105869</v>
      </c>
      <c r="O11" s="26">
        <f>O9*FS!$B$86/100</f>
        <v>160.27756435996901</v>
      </c>
      <c r="P11" s="26">
        <f>P9*FS!$B$86/100</f>
        <v>171.1764387364469</v>
      </c>
      <c r="Q11" s="26">
        <f>Q9*FS!$B$86/100</f>
        <v>159.76600752631836</v>
      </c>
      <c r="R11" s="2"/>
      <c r="S11" s="2"/>
      <c r="T11" s="13">
        <f>IF(COUNTBLANK(B11:D11)&gt;0,"",SUM(B11:D11))</f>
        <v>51.100000000000023</v>
      </c>
      <c r="U11" s="13">
        <f>IF(COUNTBLANK(E11:H11)&gt;0,"",SUM(E11:H11))</f>
        <v>464.30000000000007</v>
      </c>
      <c r="V11" s="13">
        <f>IF(COUNTBLANK(I11:L11)&gt;0,"",SUM(I11:L11))</f>
        <v>198.30000000000007</v>
      </c>
      <c r="W11" s="13">
        <f>IF(COUNTBLANK(M11:P11)&gt;0,"",SUM(M11:P11))</f>
        <v>656.58846295714613</v>
      </c>
      <c r="X11" s="13">
        <f>IF(COUNTBLANK(Q11:Q11)&gt;0,"",SUM(Q11:Q11))</f>
        <v>159.76600752631836</v>
      </c>
      <c r="Y11" s="2"/>
      <c r="Z11" s="2"/>
      <c r="AA11" s="21" t="s">
        <v>63</v>
      </c>
    </row>
    <row r="12" spans="1:27">
      <c r="A12" s="8" t="s">
        <v>64</v>
      </c>
      <c r="B12" s="12">
        <v>358.8</v>
      </c>
      <c r="C12" s="12">
        <v>626.5</v>
      </c>
      <c r="D12" s="12">
        <v>444.7</v>
      </c>
      <c r="E12" s="12">
        <v>495.1</v>
      </c>
      <c r="F12" s="12">
        <v>610.4</v>
      </c>
      <c r="G12" s="12">
        <v>617.20000000000005</v>
      </c>
      <c r="H12" s="12">
        <v>647.1</v>
      </c>
      <c r="I12" s="12">
        <v>938.2</v>
      </c>
      <c r="J12" s="15">
        <f t="shared" ref="J12:Q12" si="8">J9+J11</f>
        <v>766.45998629999997</v>
      </c>
      <c r="K12" s="15">
        <f t="shared" si="8"/>
        <v>660.08062613250002</v>
      </c>
      <c r="L12" s="15">
        <f t="shared" si="8"/>
        <v>789.93168690528546</v>
      </c>
      <c r="M12" s="15">
        <f t="shared" si="8"/>
        <v>948.40975676144103</v>
      </c>
      <c r="N12" s="15">
        <f t="shared" si="8"/>
        <v>924.98403576943349</v>
      </c>
      <c r="O12" s="15">
        <f t="shared" si="8"/>
        <v>923.50406131220245</v>
      </c>
      <c r="P12" s="15">
        <f t="shared" si="8"/>
        <v>986.30233748143223</v>
      </c>
      <c r="Q12" s="15">
        <f t="shared" si="8"/>
        <v>920.55651955640576</v>
      </c>
      <c r="R12" s="2"/>
      <c r="S12" s="2"/>
      <c r="T12" s="15">
        <f>IF(COUNTBLANK(B12:D12)&gt;0,"",SUM(B12:D12))</f>
        <v>1430</v>
      </c>
      <c r="U12" s="15">
        <f>IF(COUNTBLANK(E12:H12)&gt;0,"",SUM(E12:H12))</f>
        <v>2369.8000000000002</v>
      </c>
      <c r="V12" s="15">
        <f>IF(COUNTBLANK(I12:L12)&gt;0,"",SUM(I12:L12))</f>
        <v>3154.6722993377857</v>
      </c>
      <c r="W12" s="15">
        <f>IF(COUNTBLANK(M12:P12)&gt;0,"",SUM(M12:P12))</f>
        <v>3783.2001913245094</v>
      </c>
      <c r="X12" s="15">
        <f>IF(COUNTBLANK(Q12:Q12)&gt;0,"",SUM(Q12:Q12))</f>
        <v>920.55651955640576</v>
      </c>
      <c r="Y12" s="12">
        <v>2390</v>
      </c>
      <c r="Z12" s="20">
        <f>(J12+K12+L12+I12)/Y12-1</f>
        <v>0.31994656876057959</v>
      </c>
      <c r="AA12" s="21" t="s">
        <v>65</v>
      </c>
    </row>
    <row r="13" spans="1:27">
      <c r="A13" s="2" t="s">
        <v>66</v>
      </c>
      <c r="B13" s="23">
        <f t="shared" ref="B13:Q13" si="9">B12/B4*100</f>
        <v>18.660287081339714</v>
      </c>
      <c r="C13" s="23">
        <f t="shared" si="9"/>
        <v>32.062436028659157</v>
      </c>
      <c r="D13" s="23">
        <f t="shared" si="9"/>
        <v>22.053062236548474</v>
      </c>
      <c r="E13" s="23">
        <f t="shared" si="9"/>
        <v>24.732740533519834</v>
      </c>
      <c r="F13" s="23">
        <f t="shared" si="9"/>
        <v>30.50627217752011</v>
      </c>
      <c r="G13" s="23">
        <f t="shared" si="9"/>
        <v>29.438137937613284</v>
      </c>
      <c r="H13" s="23">
        <f t="shared" si="9"/>
        <v>27.819096341515841</v>
      </c>
      <c r="I13" s="23">
        <f t="shared" si="9"/>
        <v>34.62120373445515</v>
      </c>
      <c r="J13" s="23">
        <f t="shared" si="9"/>
        <v>28.999999999999996</v>
      </c>
      <c r="K13" s="23">
        <f t="shared" si="9"/>
        <v>25</v>
      </c>
      <c r="L13" s="23">
        <f t="shared" si="9"/>
        <v>28.000000000000004</v>
      </c>
      <c r="M13" s="23">
        <f t="shared" si="9"/>
        <v>32.67</v>
      </c>
      <c r="N13" s="23">
        <f t="shared" si="9"/>
        <v>32.67</v>
      </c>
      <c r="O13" s="23">
        <f t="shared" si="9"/>
        <v>32.67</v>
      </c>
      <c r="P13" s="23">
        <f t="shared" si="9"/>
        <v>32.67</v>
      </c>
      <c r="Q13" s="23">
        <f t="shared" si="9"/>
        <v>29.632899999999996</v>
      </c>
      <c r="R13" s="2"/>
      <c r="S13" s="2"/>
      <c r="T13" s="24">
        <f>IF(OR(COUNTBLANK(B12:D12)&gt;0,COUNTBLANK(B4:D4)&gt;0),"",SUM(B12:D12)/SUM(B4:D4)*100)</f>
        <v>24.264843126940765</v>
      </c>
      <c r="U13" s="24">
        <f>IF(OR(COUNTBLANK(E12:H12)&gt;0,COUNTBLANK(E4:H4)&gt;0),"",SUM(E12:H12)/SUM(E4:H4)*100)</f>
        <v>28.126854511358513</v>
      </c>
      <c r="V13" s="24">
        <f>IF(OR(COUNTBLANK(I12:L12)&gt;0,COUNTBLANK(I4:L4)&gt;0),"",SUM(I12:L12)/SUM(I4:L4)*100)</f>
        <v>29.17110797447619</v>
      </c>
      <c r="W13" s="24">
        <f>IF(OR(COUNTBLANK(M12:P12)&gt;0,COUNTBLANK(M4:P4)&gt;0),"",SUM(M12:P12)/SUM(M4:P4)*100)</f>
        <v>32.67</v>
      </c>
      <c r="X13" s="24">
        <f>IF(OR(COUNTBLANK(Q12:Q12)&gt;0,COUNTBLANK(Q4:Q4)&gt;0),"",SUM(Q12:Q12)/SUM(Q4:Q4)*100)</f>
        <v>29.632899999999996</v>
      </c>
      <c r="Y13" s="2"/>
      <c r="Z13" s="2"/>
      <c r="AA13" s="21" t="s">
        <v>67</v>
      </c>
    </row>
    <row r="14" spans="1:27">
      <c r="A14" s="8" t="s">
        <v>68</v>
      </c>
      <c r="B14" s="12">
        <v>62.9</v>
      </c>
      <c r="C14" s="12">
        <v>204.6</v>
      </c>
      <c r="D14" s="12">
        <v>85.1</v>
      </c>
      <c r="E14" s="12">
        <v>148.69999999999999</v>
      </c>
      <c r="F14" s="12">
        <v>165</v>
      </c>
      <c r="G14" s="12">
        <v>192.8</v>
      </c>
      <c r="H14" s="12">
        <v>190.3</v>
      </c>
      <c r="I14" s="12">
        <v>259.5</v>
      </c>
      <c r="J14" s="26">
        <f>J12*FS!$B$85/100</f>
        <v>221.5069360407</v>
      </c>
      <c r="K14" s="26">
        <f>K12*FS!$B$85/100</f>
        <v>190.7633009522925</v>
      </c>
      <c r="L14" s="26">
        <f>L12*FS!$B$85/100</f>
        <v>228.2902575156275</v>
      </c>
      <c r="M14" s="26">
        <f>M12*FS!$B$85/100</f>
        <v>274.09041970405644</v>
      </c>
      <c r="N14" s="26">
        <f>N12*FS!$B$85/100</f>
        <v>267.32038633736624</v>
      </c>
      <c r="O14" s="26">
        <f>O12*FS!$B$85/100</f>
        <v>266.89267371922654</v>
      </c>
      <c r="P14" s="26">
        <f>P12*FS!$B$85/100</f>
        <v>285.04137553213388</v>
      </c>
      <c r="Q14" s="26">
        <f>Q12*FS!$B$85/100</f>
        <v>266.04083415180122</v>
      </c>
      <c r="R14" s="2"/>
      <c r="S14" s="2"/>
      <c r="T14" s="13">
        <f>IF(COUNTBLANK(B14:D14)&gt;0,"",SUM(B14:D14))</f>
        <v>352.6</v>
      </c>
      <c r="U14" s="13">
        <f>IF(COUNTBLANK(E14:H14)&gt;0,"",SUM(E14:H14))</f>
        <v>696.8</v>
      </c>
      <c r="V14" s="13">
        <f>IF(COUNTBLANK(I14:L14)&gt;0,"",SUM(I14:L14))</f>
        <v>900.06049450861997</v>
      </c>
      <c r="W14" s="13">
        <f>IF(COUNTBLANK(M14:P14)&gt;0,"",SUM(M14:P14))</f>
        <v>1093.344855292783</v>
      </c>
      <c r="X14" s="13">
        <f>IF(COUNTBLANK(Q14:Q14)&gt;0,"",SUM(Q14:Q14))</f>
        <v>266.04083415180122</v>
      </c>
      <c r="Y14" s="2"/>
      <c r="Z14" s="2"/>
      <c r="AA14" s="21" t="s">
        <v>69</v>
      </c>
    </row>
    <row r="15" spans="1:27">
      <c r="A15" s="2" t="s">
        <v>70</v>
      </c>
      <c r="B15" s="23">
        <f t="shared" ref="B15:I15" si="10">IF(B12=0,"",B14/B12*100)</f>
        <v>17.530657748049052</v>
      </c>
      <c r="C15" s="23">
        <f t="shared" si="10"/>
        <v>32.657621707901036</v>
      </c>
      <c r="D15" s="23">
        <f t="shared" si="10"/>
        <v>19.136496514504159</v>
      </c>
      <c r="E15" s="23">
        <f t="shared" si="10"/>
        <v>30.034336497677234</v>
      </c>
      <c r="F15" s="23">
        <f t="shared" si="10"/>
        <v>27.031454783748366</v>
      </c>
      <c r="G15" s="23">
        <f t="shared" si="10"/>
        <v>31.237848347375241</v>
      </c>
      <c r="H15" s="23">
        <f t="shared" si="10"/>
        <v>29.408128573636223</v>
      </c>
      <c r="I15" s="23">
        <f t="shared" si="10"/>
        <v>27.659347687060325</v>
      </c>
      <c r="J15" s="27">
        <f>FS!$B$85</f>
        <v>28.9</v>
      </c>
      <c r="K15" s="27">
        <f>FS!$B$85</f>
        <v>28.9</v>
      </c>
      <c r="L15" s="27">
        <f>FS!$B$85</f>
        <v>28.9</v>
      </c>
      <c r="M15" s="27">
        <f>FS!$B$85</f>
        <v>28.9</v>
      </c>
      <c r="N15" s="27">
        <f>FS!$B$85</f>
        <v>28.9</v>
      </c>
      <c r="O15" s="27">
        <f>FS!$B$85</f>
        <v>28.9</v>
      </c>
      <c r="P15" s="27">
        <f>FS!$B$85</f>
        <v>28.9</v>
      </c>
      <c r="Q15" s="27">
        <f>FS!$B$85</f>
        <v>28.9</v>
      </c>
      <c r="R15" s="2"/>
      <c r="S15" s="2"/>
      <c r="T15" s="24">
        <f>IF(OR(COUNTBLANK(B14:D14)&gt;0,COUNTBLANK(B12:D12)&gt;0),"",SUM(B14:D14)/SUM(B12:D12)*100)</f>
        <v>24.65734265734266</v>
      </c>
      <c r="U15" s="24">
        <f>IF(OR(COUNTBLANK(E14:H14)&gt;0,COUNTBLANK(E12:H12)&gt;0),"",SUM(E14:H14)/SUM(E12:H12)*100)</f>
        <v>29.403325175120258</v>
      </c>
      <c r="V15" s="24">
        <f>IF(OR(COUNTBLANK(I14:L14)&gt;0,COUNTBLANK(I12:L12)&gt;0),"",SUM(I14:L14)/SUM(I12:L12)*100)</f>
        <v>28.531029821942411</v>
      </c>
      <c r="W15" s="24">
        <f>IF(OR(COUNTBLANK(M14:P14)&gt;0,COUNTBLANK(M12:P12)&gt;0),"",SUM(M14:P14)/SUM(M12:P12)*100)</f>
        <v>28.899999999999991</v>
      </c>
      <c r="X15" s="24">
        <f>IF(OR(COUNTBLANK(Q14:Q14)&gt;0,COUNTBLANK(Q12:Q12)&gt;0),"",SUM(Q14:Q14)/SUM(Q12:Q12)*100)</f>
        <v>28.9</v>
      </c>
      <c r="Y15" s="2"/>
      <c r="Z15" s="2"/>
      <c r="AA15" s="21" t="s">
        <v>71</v>
      </c>
    </row>
    <row r="16" spans="1:27">
      <c r="A16" s="8" t="s">
        <v>72</v>
      </c>
      <c r="B16" s="22">
        <f t="shared" ref="B16:I16" si="11">B12-B14-B18</f>
        <v>1.1000000000000227</v>
      </c>
      <c r="C16" s="22">
        <f t="shared" si="11"/>
        <v>0</v>
      </c>
      <c r="D16" s="22">
        <f t="shared" si="11"/>
        <v>0</v>
      </c>
      <c r="E16" s="22">
        <f t="shared" si="11"/>
        <v>0</v>
      </c>
      <c r="F16" s="22">
        <f t="shared" si="11"/>
        <v>0</v>
      </c>
      <c r="G16" s="22">
        <f t="shared" si="11"/>
        <v>0</v>
      </c>
      <c r="H16" s="22">
        <f t="shared" si="11"/>
        <v>0</v>
      </c>
      <c r="I16" s="22">
        <f t="shared" si="11"/>
        <v>0.10000000000002274</v>
      </c>
      <c r="J16" s="26">
        <f>J12*FS!$B$101/100</f>
        <v>0</v>
      </c>
      <c r="K16" s="26">
        <f>K12*FS!$B$101/100</f>
        <v>0</v>
      </c>
      <c r="L16" s="26">
        <f>L12*FS!$B$101/100</f>
        <v>0</v>
      </c>
      <c r="M16" s="26">
        <f>M12*FS!$B$101/100</f>
        <v>0</v>
      </c>
      <c r="N16" s="26">
        <f>N12*FS!$B$101/100</f>
        <v>0</v>
      </c>
      <c r="O16" s="26">
        <f>O12*FS!$B$101/100</f>
        <v>0</v>
      </c>
      <c r="P16" s="26">
        <f>P12*FS!$B$101/100</f>
        <v>0</v>
      </c>
      <c r="Q16" s="26">
        <f>Q12*FS!$B$101/100</f>
        <v>0</v>
      </c>
      <c r="R16" s="2"/>
      <c r="S16" s="2"/>
      <c r="T16" s="13">
        <f>IF(COUNTBLANK(B16:D16)&gt;0,"",SUM(B16:D16))</f>
        <v>1.1000000000000227</v>
      </c>
      <c r="U16" s="13">
        <f>IF(COUNTBLANK(E16:H16)&gt;0,"",SUM(E16:H16))</f>
        <v>0</v>
      </c>
      <c r="V16" s="13">
        <f>IF(COUNTBLANK(I16:L16)&gt;0,"",SUM(I16:L16))</f>
        <v>0.10000000000002274</v>
      </c>
      <c r="W16" s="13">
        <f>IF(COUNTBLANK(M16:P16)&gt;0,"",SUM(M16:P16))</f>
        <v>0</v>
      </c>
      <c r="X16" s="13">
        <f>IF(COUNTBLANK(Q16:Q16)&gt;0,"",SUM(Q16:Q16))</f>
        <v>0</v>
      </c>
      <c r="Y16" s="2"/>
      <c r="Z16" s="2"/>
      <c r="AA16" s="21" t="s">
        <v>73</v>
      </c>
    </row>
    <row r="17" spans="1:2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8" t="s">
        <v>74</v>
      </c>
      <c r="B18" s="12">
        <v>294.8</v>
      </c>
      <c r="C18" s="12">
        <v>421.9</v>
      </c>
      <c r="D18" s="12">
        <v>359.6</v>
      </c>
      <c r="E18" s="12">
        <v>346.4</v>
      </c>
      <c r="F18" s="12">
        <v>445.4</v>
      </c>
      <c r="G18" s="12">
        <v>424.4</v>
      </c>
      <c r="H18" s="12">
        <v>456.8</v>
      </c>
      <c r="I18" s="12">
        <v>678.6</v>
      </c>
      <c r="J18" s="15">
        <f t="shared" ref="J18:Q18" si="12">J12-J14-J16</f>
        <v>544.95305025929997</v>
      </c>
      <c r="K18" s="15">
        <f t="shared" si="12"/>
        <v>469.31732518020749</v>
      </c>
      <c r="L18" s="15">
        <f t="shared" si="12"/>
        <v>561.64142938965801</v>
      </c>
      <c r="M18" s="15">
        <f t="shared" si="12"/>
        <v>674.31933705738459</v>
      </c>
      <c r="N18" s="15">
        <f t="shared" si="12"/>
        <v>657.66364943206725</v>
      </c>
      <c r="O18" s="15">
        <f t="shared" si="12"/>
        <v>656.61138759297592</v>
      </c>
      <c r="P18" s="15">
        <f t="shared" si="12"/>
        <v>701.26096194929835</v>
      </c>
      <c r="Q18" s="15">
        <f t="shared" si="12"/>
        <v>654.51568540460448</v>
      </c>
      <c r="R18" s="2"/>
      <c r="S18" s="2"/>
      <c r="T18" s="15">
        <f>IF(COUNTBLANK(B18:D18)&gt;0,"",SUM(B18:D18))</f>
        <v>1076.3000000000002</v>
      </c>
      <c r="U18" s="15">
        <f>IF(COUNTBLANK(E18:H18)&gt;0,"",SUM(E18:H18))</f>
        <v>1672.9999999999998</v>
      </c>
      <c r="V18" s="15">
        <f>IF(COUNTBLANK(I18:L18)&gt;0,"",SUM(I18:L18))</f>
        <v>2254.5118048291656</v>
      </c>
      <c r="W18" s="15">
        <f>IF(COUNTBLANK(M18:P18)&gt;0,"",SUM(M18:P18))</f>
        <v>2689.855336031726</v>
      </c>
      <c r="X18" s="15">
        <f>IF(COUNTBLANK(Q18:Q18)&gt;0,"",SUM(Q18:Q18))</f>
        <v>654.51568540460448</v>
      </c>
      <c r="Y18" s="12">
        <v>1700</v>
      </c>
      <c r="Z18" s="20">
        <f>(J18+K18+L18+I18)/Y18-1</f>
        <v>0.32618341460539146</v>
      </c>
      <c r="AA18" s="21" t="s">
        <v>75</v>
      </c>
    </row>
    <row r="19" spans="1:27">
      <c r="A19" s="2" t="s">
        <v>76</v>
      </c>
      <c r="B19" s="23">
        <f t="shared" ref="B19:Q19" si="13">B18/B4*100</f>
        <v>15.331807780320366</v>
      </c>
      <c r="C19" s="23">
        <f t="shared" si="13"/>
        <v>21.591606960081883</v>
      </c>
      <c r="D19" s="23">
        <f t="shared" si="13"/>
        <v>17.832878750309945</v>
      </c>
      <c r="E19" s="23">
        <f t="shared" si="13"/>
        <v>17.304426016585072</v>
      </c>
      <c r="F19" s="23">
        <f t="shared" si="13"/>
        <v>22.259983007646557</v>
      </c>
      <c r="G19" s="23">
        <f t="shared" si="13"/>
        <v>20.242297052370503</v>
      </c>
      <c r="H19" s="23">
        <f t="shared" si="13"/>
        <v>19.638020721379135</v>
      </c>
      <c r="I19" s="23">
        <f t="shared" si="13"/>
        <v>25.041514447027563</v>
      </c>
      <c r="J19" s="23">
        <f t="shared" si="13"/>
        <v>20.619</v>
      </c>
      <c r="K19" s="23">
        <f t="shared" si="13"/>
        <v>17.774999999999999</v>
      </c>
      <c r="L19" s="23">
        <f t="shared" si="13"/>
        <v>19.908000000000005</v>
      </c>
      <c r="M19" s="23">
        <f t="shared" si="13"/>
        <v>23.228370000000002</v>
      </c>
      <c r="N19" s="23">
        <f t="shared" si="13"/>
        <v>23.228370000000002</v>
      </c>
      <c r="O19" s="23">
        <f t="shared" si="13"/>
        <v>23.228370000000002</v>
      </c>
      <c r="P19" s="23">
        <f t="shared" si="13"/>
        <v>23.228370000000005</v>
      </c>
      <c r="Q19" s="23">
        <f t="shared" si="13"/>
        <v>21.068991899999997</v>
      </c>
      <c r="R19" s="2"/>
      <c r="S19" s="2"/>
      <c r="T19" s="24">
        <f>IF(OR(COUNTBLANK(B18:D18)&gt;0,COUNTBLANK(B4:D4)&gt;0),"",SUM(B18:D18)/SUM(B4:D4)*100)</f>
        <v>18.263112347920522</v>
      </c>
      <c r="U19" s="24">
        <f>IF(OR(COUNTBLANK(E18:H18)&gt;0,COUNTBLANK(E4:H4)&gt;0),"",SUM(E18:H18)/SUM(E4:H4)*100)</f>
        <v>19.856624017850784</v>
      </c>
      <c r="V19" s="24">
        <f>IF(OR(COUNTBLANK(I18:L18)&gt;0,COUNTBLANK(I4:L4)&gt;0),"",SUM(I18:L18)/SUM(I4:L4)*100)</f>
        <v>20.847365763540068</v>
      </c>
      <c r="W19" s="24">
        <f>IF(OR(COUNTBLANK(M18:P18)&gt;0,COUNTBLANK(M4:P4)&gt;0),"",SUM(M18:P18)/SUM(M4:P4)*100)</f>
        <v>23.228369999999998</v>
      </c>
      <c r="X19" s="24">
        <f>IF(OR(COUNTBLANK(Q18:Q18)&gt;0,COUNTBLANK(Q4:Q4)&gt;0),"",SUM(Q18:Q18)/SUM(Q4:Q4)*100)</f>
        <v>21.068991899999997</v>
      </c>
      <c r="Y19" s="2"/>
      <c r="Z19" s="2"/>
      <c r="AA19" s="21" t="s">
        <v>77</v>
      </c>
    </row>
    <row r="20" spans="1:2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8" t="s">
        <v>78</v>
      </c>
      <c r="B21" s="12">
        <v>64.099999999999994</v>
      </c>
      <c r="C21" s="12">
        <v>64</v>
      </c>
      <c r="D21" s="12">
        <v>64</v>
      </c>
      <c r="E21" s="12">
        <v>63.7</v>
      </c>
      <c r="F21" s="12">
        <v>63.6</v>
      </c>
      <c r="G21" s="12">
        <v>63.4</v>
      </c>
      <c r="H21" s="12">
        <v>63.4</v>
      </c>
      <c r="I21" s="12">
        <v>63.1</v>
      </c>
      <c r="J21" s="26">
        <f>I21-FS!J76*100/FS!$B$99</f>
        <v>62.912832222804525</v>
      </c>
      <c r="K21" s="26">
        <f>J21-FS!K76*100/FS!$B$99</f>
        <v>62.725664445609048</v>
      </c>
      <c r="L21" s="26">
        <f>K21-FS!L76*100/FS!$B$99</f>
        <v>62.538496668413572</v>
      </c>
      <c r="M21" s="26">
        <f>L21-FS!M76*100/FS!$B$99</f>
        <v>62.351328891218095</v>
      </c>
      <c r="N21" s="26">
        <f>M21-FS!N76*100/FS!$B$99</f>
        <v>62.164161114022619</v>
      </c>
      <c r="O21" s="26">
        <f>N21-FS!O76*100/FS!$B$99</f>
        <v>61.976993336827142</v>
      </c>
      <c r="P21" s="26">
        <f>O21-FS!P76*100/FS!$B$99</f>
        <v>61.789825559631666</v>
      </c>
      <c r="Q21" s="26">
        <f>P21-FS!Q76*100/FS!$B$99</f>
        <v>61.602657782436189</v>
      </c>
      <c r="R21" s="2"/>
      <c r="S21" s="2"/>
      <c r="T21" s="13">
        <f>IF(ISBLANK(D21),"",D21)</f>
        <v>64</v>
      </c>
      <c r="U21" s="13">
        <f>IF(ISBLANK(H21),"",H21)</f>
        <v>63.4</v>
      </c>
      <c r="V21" s="13">
        <f>IF(ISBLANK(L21),"",L21)</f>
        <v>62.538496668413572</v>
      </c>
      <c r="W21" s="13">
        <f>IF(ISBLANK(P21),"",P21)</f>
        <v>61.789825559631666</v>
      </c>
      <c r="X21" s="13">
        <f>IF(ISBLANK(Q21),"",Q21)</f>
        <v>61.602657782436189</v>
      </c>
      <c r="Y21" s="2"/>
      <c r="Z21" s="2"/>
      <c r="AA21" s="21" t="s">
        <v>79</v>
      </c>
    </row>
    <row r="22" spans="1:27">
      <c r="A22" s="8" t="s">
        <v>80</v>
      </c>
      <c r="B22" s="28">
        <f t="shared" ref="B22:Q22" si="14">B18*100/B21</f>
        <v>459.90639625585027</v>
      </c>
      <c r="C22" s="28">
        <f t="shared" si="14"/>
        <v>659.21875</v>
      </c>
      <c r="D22" s="28">
        <f t="shared" si="14"/>
        <v>561.875</v>
      </c>
      <c r="E22" s="28">
        <f t="shared" si="14"/>
        <v>543.79905808477235</v>
      </c>
      <c r="F22" s="28">
        <f t="shared" si="14"/>
        <v>700.31446540880506</v>
      </c>
      <c r="G22" s="28">
        <f t="shared" si="14"/>
        <v>669.40063091482648</v>
      </c>
      <c r="H22" s="28">
        <f t="shared" si="14"/>
        <v>720.50473186119871</v>
      </c>
      <c r="I22" s="28">
        <f t="shared" si="14"/>
        <v>1075.4358161648177</v>
      </c>
      <c r="J22" s="29">
        <f t="shared" si="14"/>
        <v>866.20333405013423</v>
      </c>
      <c r="K22" s="29">
        <f t="shared" si="14"/>
        <v>748.20622360591165</v>
      </c>
      <c r="L22" s="29">
        <f t="shared" si="14"/>
        <v>898.07312185252329</v>
      </c>
      <c r="M22" s="29">
        <f t="shared" si="14"/>
        <v>1081.4835049207097</v>
      </c>
      <c r="N22" s="29">
        <f t="shared" si="14"/>
        <v>1057.9466329896557</v>
      </c>
      <c r="O22" s="29">
        <f t="shared" si="14"/>
        <v>1059.4437584677298</v>
      </c>
      <c r="P22" s="29">
        <f t="shared" si="14"/>
        <v>1134.9133220525614</v>
      </c>
      <c r="Q22" s="29">
        <f t="shared" si="14"/>
        <v>1062.4796217659562</v>
      </c>
      <c r="R22" s="2"/>
      <c r="S22" s="2"/>
      <c r="T22" s="29">
        <f>IF(COUNTBLANK(B22:D22)&gt;0,"",SUM(B22:D22))</f>
        <v>1681.0001462558503</v>
      </c>
      <c r="U22" s="29">
        <f>IF(COUNTBLANK(E22:H22)&gt;0,"",SUM(E22:H22))</f>
        <v>2634.0188862696023</v>
      </c>
      <c r="V22" s="29">
        <f>IF(COUNTBLANK(I22:L22)&gt;0,"",SUM(I22:L22))</f>
        <v>3587.918495673387</v>
      </c>
      <c r="W22" s="29">
        <f>IF(COUNTBLANK(M22:P22)&gt;0,"",SUM(M22:P22))</f>
        <v>4333.7872184306561</v>
      </c>
      <c r="X22" s="29">
        <f>IF(COUNTBLANK(Q22:Q22)&gt;0,"",SUM(Q22:Q22))</f>
        <v>1062.4796217659562</v>
      </c>
      <c r="Y22" s="30">
        <v>2692.46</v>
      </c>
      <c r="Z22" s="20">
        <f>(J22+K22+L22+I22)/Y22-1</f>
        <v>0.3325800552927014</v>
      </c>
      <c r="AA22" s="21" t="s">
        <v>81</v>
      </c>
    </row>
    <row r="23" spans="1:27">
      <c r="A23" s="8" t="s">
        <v>82</v>
      </c>
      <c r="B23" s="30">
        <v>500</v>
      </c>
      <c r="C23" s="30">
        <v>0</v>
      </c>
      <c r="D23" s="30">
        <v>500</v>
      </c>
      <c r="E23" s="30">
        <v>0</v>
      </c>
      <c r="F23" s="30">
        <v>500</v>
      </c>
      <c r="G23" s="30">
        <v>0</v>
      </c>
      <c r="H23" s="30">
        <v>500</v>
      </c>
      <c r="I23" s="28">
        <f>I22*0.37</f>
        <v>397.91125198098251</v>
      </c>
      <c r="J23" s="31">
        <f>J22*FS!$B$88/100</f>
        <v>320.4952335985497</v>
      </c>
      <c r="K23" s="31">
        <f>K22*FS!$B$88/100</f>
        <v>276.83630273418731</v>
      </c>
      <c r="L23" s="31">
        <f>L22*FS!$B$88/100</f>
        <v>332.28705508543362</v>
      </c>
      <c r="M23" s="31">
        <f>M22*FS!$B$88/100</f>
        <v>400.14889682066263</v>
      </c>
      <c r="N23" s="31">
        <f>N22*FS!$B$88/100</f>
        <v>391.4402542061726</v>
      </c>
      <c r="O23" s="31">
        <f>O22*FS!$B$88/100</f>
        <v>391.99419063306004</v>
      </c>
      <c r="P23" s="31">
        <f>P22*FS!$B$88/100</f>
        <v>419.91792915944774</v>
      </c>
      <c r="Q23" s="31">
        <f>Q22*FS!$B$88/100</f>
        <v>393.11746005340376</v>
      </c>
      <c r="R23" s="2"/>
      <c r="S23" s="2"/>
      <c r="T23" s="32">
        <f>IF(COUNTBLANK(B23:D23)&gt;0,"",SUM(B23:D23))</f>
        <v>1000</v>
      </c>
      <c r="U23" s="32">
        <f>IF(COUNTBLANK(E23:H23)&gt;0,"",SUM(E23:H23))</f>
        <v>1000</v>
      </c>
      <c r="V23" s="32">
        <f>IF(COUNTBLANK(I23:L23)&gt;0,"",SUM(I23:L23))</f>
        <v>1327.5298433991532</v>
      </c>
      <c r="W23" s="32">
        <f>IF(COUNTBLANK(M23:P23)&gt;0,"",SUM(M23:P23))</f>
        <v>1603.5012708193431</v>
      </c>
      <c r="X23" s="32">
        <f>IF(COUNTBLANK(Q23:Q23)&gt;0,"",SUM(Q23:Q23))</f>
        <v>393.11746005340376</v>
      </c>
      <c r="Y23" s="2"/>
      <c r="Z23" s="2"/>
      <c r="AA23" s="21" t="s">
        <v>83</v>
      </c>
    </row>
    <row r="24" spans="1:27">
      <c r="A24" s="2" t="s">
        <v>84</v>
      </c>
      <c r="B24" s="23">
        <f t="shared" ref="B24:Q24" si="15">IF(B22=0,"",B23/B22*100)</f>
        <v>108.71777476255087</v>
      </c>
      <c r="C24" s="23">
        <f t="shared" si="15"/>
        <v>0</v>
      </c>
      <c r="D24" s="23">
        <f t="shared" si="15"/>
        <v>88.987764182424911</v>
      </c>
      <c r="E24" s="23">
        <f t="shared" si="15"/>
        <v>0</v>
      </c>
      <c r="F24" s="23">
        <f t="shared" si="15"/>
        <v>71.39649753030983</v>
      </c>
      <c r="G24" s="23">
        <f t="shared" si="15"/>
        <v>0</v>
      </c>
      <c r="H24" s="23">
        <f t="shared" si="15"/>
        <v>69.395796847635722</v>
      </c>
      <c r="I24" s="23">
        <f t="shared" si="15"/>
        <v>37</v>
      </c>
      <c r="J24" s="23">
        <f t="shared" si="15"/>
        <v>37.000000000000007</v>
      </c>
      <c r="K24" s="23">
        <f t="shared" si="15"/>
        <v>37</v>
      </c>
      <c r="L24" s="23">
        <f t="shared" si="15"/>
        <v>37</v>
      </c>
      <c r="M24" s="23">
        <f t="shared" si="15"/>
        <v>37.000000000000007</v>
      </c>
      <c r="N24" s="23">
        <f t="shared" si="15"/>
        <v>37</v>
      </c>
      <c r="O24" s="23">
        <f t="shared" si="15"/>
        <v>37</v>
      </c>
      <c r="P24" s="23">
        <f t="shared" si="15"/>
        <v>37</v>
      </c>
      <c r="Q24" s="23">
        <f t="shared" si="15"/>
        <v>37</v>
      </c>
      <c r="R24" s="2"/>
      <c r="S24" s="2"/>
      <c r="T24" s="24">
        <f>IF(OR(COUNTBLANK(B23:D23)&gt;0,COUNTBLANK(B22:D22)&gt;0),"",SUM(B23:D23)/SUM(B22:D22)*100)</f>
        <v>59.488394586242876</v>
      </c>
      <c r="U24" s="24">
        <f>IF(OR(COUNTBLANK(E23:H23)&gt;0,COUNTBLANK(E22:H22)&gt;0),"",SUM(E23:H23)/SUM(E22:H22)*100)</f>
        <v>37.964799918964822</v>
      </c>
      <c r="V24" s="24">
        <f>IF(OR(COUNTBLANK(I23:L23)&gt;0,COUNTBLANK(I22:L22)&gt;0),"",SUM(I23:L23)/SUM(I22:L22)*100)</f>
        <v>37</v>
      </c>
      <c r="W24" s="24">
        <f>IF(OR(COUNTBLANK(M23:P23)&gt;0,COUNTBLANK(M22:P22)&gt;0),"",SUM(M23:P23)/SUM(M22:P22)*100)</f>
        <v>37.000000000000007</v>
      </c>
      <c r="X24" s="24">
        <f>IF(OR(COUNTBLANK(Q23:Q23)&gt;0,COUNTBLANK(Q22:Q22)&gt;0),"",SUM(Q23:Q23)/SUM(Q22:Q22)*100)</f>
        <v>37</v>
      </c>
      <c r="Y24" s="2"/>
      <c r="Z24" s="2"/>
      <c r="AA24" s="21" t="s">
        <v>85</v>
      </c>
    </row>
    <row r="25" spans="1:2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18" t="s">
        <v>86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11" t="s">
        <v>44</v>
      </c>
      <c r="B29" s="5" t="s">
        <v>3</v>
      </c>
      <c r="C29" s="5" t="s">
        <v>4</v>
      </c>
      <c r="D29" s="5" t="s">
        <v>5</v>
      </c>
      <c r="E29" s="5" t="s">
        <v>6</v>
      </c>
      <c r="F29" s="5" t="s">
        <v>7</v>
      </c>
      <c r="G29" s="5" t="s">
        <v>8</v>
      </c>
      <c r="H29" s="5" t="s">
        <v>9</v>
      </c>
      <c r="I29" s="5" t="s">
        <v>10</v>
      </c>
      <c r="J29" s="6" t="s">
        <v>11</v>
      </c>
      <c r="K29" s="6" t="s">
        <v>12</v>
      </c>
      <c r="L29" s="6" t="s">
        <v>13</v>
      </c>
      <c r="M29" s="6" t="s">
        <v>14</v>
      </c>
      <c r="N29" s="6" t="s">
        <v>15</v>
      </c>
      <c r="O29" s="6" t="s">
        <v>16</v>
      </c>
      <c r="P29" s="6" t="s">
        <v>17</v>
      </c>
      <c r="Q29" s="6" t="s">
        <v>18</v>
      </c>
      <c r="R29" s="2"/>
      <c r="S29" s="2"/>
      <c r="T29" s="5" t="s">
        <v>19</v>
      </c>
      <c r="U29" s="5" t="s">
        <v>20</v>
      </c>
      <c r="V29" s="7" t="s">
        <v>21</v>
      </c>
      <c r="W29" s="7" t="s">
        <v>22</v>
      </c>
      <c r="X29" s="7" t="s">
        <v>23</v>
      </c>
      <c r="Y29" s="7" t="s">
        <v>87</v>
      </c>
      <c r="Z29" s="2"/>
      <c r="AA29" s="19" t="s">
        <v>47</v>
      </c>
    </row>
    <row r="30" spans="1:27">
      <c r="A30" s="8" t="s">
        <v>88</v>
      </c>
      <c r="B30" s="12">
        <v>5213.6000000000004</v>
      </c>
      <c r="C30" s="12">
        <v>5666.4</v>
      </c>
      <c r="D30" s="12">
        <v>6557.8</v>
      </c>
      <c r="E30" s="12">
        <v>6691.4</v>
      </c>
      <c r="F30" s="12">
        <v>6599.7</v>
      </c>
      <c r="G30" s="12">
        <v>6557.4</v>
      </c>
      <c r="H30" s="12">
        <v>6638.7</v>
      </c>
      <c r="I30" s="12">
        <v>7110.9</v>
      </c>
      <c r="J30" s="26">
        <f>I30+FS!J63+FS!J64+FS!J65</f>
        <v>7721.3016675424797</v>
      </c>
      <c r="K30" s="26">
        <f>J30+FS!K63+FS!K64+FS!K65</f>
        <v>7479.0903157843904</v>
      </c>
      <c r="L30" s="26">
        <f>K30+FS!L63+FS!L64+FS!L65</f>
        <v>7411.3751339392593</v>
      </c>
      <c r="M30" s="26">
        <f>L30+FS!M63+FS!M64+FS!M65</f>
        <v>7185.1066573763428</v>
      </c>
      <c r="N30" s="26">
        <f>M30+FS!N63+FS!N64+FS!N65</f>
        <v>7601.9923973335481</v>
      </c>
      <c r="O30" s="26">
        <f>N30+FS!O63+FS!O64+FS!O65</f>
        <v>7835.5795679003113</v>
      </c>
      <c r="P30" s="26">
        <f>O30+FS!P63+FS!P64+FS!P65</f>
        <v>7558.7832720759889</v>
      </c>
      <c r="Q30" s="26">
        <f>P30+FS!Q63+FS!Q64+FS!Q65</f>
        <v>7287.2188296795866</v>
      </c>
      <c r="R30" s="2"/>
      <c r="S30" s="2"/>
      <c r="T30" s="13">
        <f>IF(ISBLANK(D30),"",D30)</f>
        <v>6557.8</v>
      </c>
      <c r="U30" s="13">
        <f>IF(ISBLANK(H30),"",H30)</f>
        <v>6638.7</v>
      </c>
      <c r="V30" s="13">
        <f>IF(ISBLANK(L30),"",L30)</f>
        <v>7411.3751339392593</v>
      </c>
      <c r="W30" s="13">
        <f t="shared" ref="W30:X34" si="16">IF(ISBLANK(P30),"",P30)</f>
        <v>7558.7832720759889</v>
      </c>
      <c r="X30" s="13">
        <f t="shared" si="16"/>
        <v>7287.2188296795866</v>
      </c>
      <c r="Y30" s="22">
        <f>Q30</f>
        <v>7287.2188296795866</v>
      </c>
      <c r="Z30" s="2"/>
      <c r="AA30" s="21" t="s">
        <v>89</v>
      </c>
    </row>
    <row r="31" spans="1:27">
      <c r="A31" s="8" t="s">
        <v>90</v>
      </c>
      <c r="B31" s="12">
        <v>1978</v>
      </c>
      <c r="C31" s="12">
        <v>2063.1</v>
      </c>
      <c r="D31" s="12">
        <v>2079.6999999999998</v>
      </c>
      <c r="E31" s="12">
        <v>2077.4</v>
      </c>
      <c r="F31" s="12">
        <v>2022.7</v>
      </c>
      <c r="G31" s="12">
        <v>2141.9</v>
      </c>
      <c r="H31" s="12">
        <v>2353.1999999999998</v>
      </c>
      <c r="I31" s="12">
        <v>2714.3</v>
      </c>
      <c r="J31" s="26">
        <f>J55*FS!J4/91</f>
        <v>2642.9654700000001</v>
      </c>
      <c r="K31" s="26">
        <f>K55*FS!K4/91</f>
        <v>2640.3225045300001</v>
      </c>
      <c r="L31" s="26">
        <f>L55*FS!L4/91</f>
        <v>2821.1845960903051</v>
      </c>
      <c r="M31" s="26">
        <f>M55*FS!M4/91</f>
        <v>2902.998949376924</v>
      </c>
      <c r="N31" s="26">
        <f>N55*FS!N4/91</f>
        <v>2831.294875327314</v>
      </c>
      <c r="O31" s="26">
        <f>O55*FS!O4/91</f>
        <v>2826.7648035267903</v>
      </c>
      <c r="P31" s="26">
        <f>P55*FS!P4/91</f>
        <v>3018.9848101666121</v>
      </c>
      <c r="Q31" s="26">
        <f>Q55*FS!Q4/91</f>
        <v>3106.5353696614434</v>
      </c>
      <c r="R31" s="2"/>
      <c r="S31" s="2"/>
      <c r="T31" s="13">
        <f>IF(ISBLANK(D31),"",D31)</f>
        <v>2079.6999999999998</v>
      </c>
      <c r="U31" s="13">
        <f>IF(ISBLANK(H31),"",H31)</f>
        <v>2353.1999999999998</v>
      </c>
      <c r="V31" s="13">
        <f>IF(ISBLANK(L31),"",L31)</f>
        <v>2821.1845960903051</v>
      </c>
      <c r="W31" s="13">
        <f t="shared" si="16"/>
        <v>3018.9848101666121</v>
      </c>
      <c r="X31" s="13">
        <f t="shared" si="16"/>
        <v>3106.5353696614434</v>
      </c>
      <c r="Y31" s="2"/>
      <c r="Z31" s="2"/>
      <c r="AA31" s="21" t="s">
        <v>91</v>
      </c>
    </row>
    <row r="32" spans="1:27">
      <c r="A32" s="8" t="s">
        <v>92</v>
      </c>
      <c r="B32" s="12">
        <v>5059.6000000000004</v>
      </c>
      <c r="C32" s="12">
        <v>5174.1000000000004</v>
      </c>
      <c r="D32" s="12">
        <v>4896.6000000000004</v>
      </c>
      <c r="E32" s="12">
        <v>4834.7</v>
      </c>
      <c r="F32" s="12">
        <v>4876.3</v>
      </c>
      <c r="G32" s="12">
        <v>5082.3</v>
      </c>
      <c r="H32" s="12">
        <v>5067</v>
      </c>
      <c r="I32" s="12">
        <v>5132.1000000000004</v>
      </c>
      <c r="J32" s="26">
        <f>J56*FS!J5/91</f>
        <v>4705.0594081318686</v>
      </c>
      <c r="K32" s="26">
        <f>K56*FS!K5/91</f>
        <v>5076.3826966216357</v>
      </c>
      <c r="L32" s="26">
        <f>L56*FS!L5/91</f>
        <v>5122.7751940435382</v>
      </c>
      <c r="M32" s="26">
        <f>M56*FS!M5/91</f>
        <v>5529.7344822527029</v>
      </c>
      <c r="N32" s="26">
        <f>N56*FS!N5/91</f>
        <v>5393.1500405410625</v>
      </c>
      <c r="O32" s="26">
        <f>O56*FS!O5/91</f>
        <v>5384.5210004761957</v>
      </c>
      <c r="P32" s="26">
        <f>P56*FS!P5/91</f>
        <v>5750.6684285085767</v>
      </c>
      <c r="Q32" s="26">
        <f>Q56*FS!Q5/91</f>
        <v>6195.059661729113</v>
      </c>
      <c r="R32" s="2"/>
      <c r="S32" s="2"/>
      <c r="T32" s="13">
        <f>IF(ISBLANK(D32),"",D32)</f>
        <v>4896.6000000000004</v>
      </c>
      <c r="U32" s="13">
        <f>IF(ISBLANK(H32),"",H32)</f>
        <v>5067</v>
      </c>
      <c r="V32" s="13">
        <f>IF(ISBLANK(L32),"",L32)</f>
        <v>5122.7751940435382</v>
      </c>
      <c r="W32" s="13">
        <f t="shared" si="16"/>
        <v>5750.6684285085767</v>
      </c>
      <c r="X32" s="13">
        <f t="shared" si="16"/>
        <v>6195.059661729113</v>
      </c>
      <c r="Y32" s="2"/>
      <c r="Z32" s="2"/>
      <c r="AA32" s="21" t="s">
        <v>93</v>
      </c>
    </row>
    <row r="33" spans="1:27">
      <c r="A33" s="8" t="s">
        <v>94</v>
      </c>
      <c r="B33" s="12">
        <v>1261.4000000000001</v>
      </c>
      <c r="C33" s="12">
        <v>697.7</v>
      </c>
      <c r="D33" s="12">
        <v>684.3</v>
      </c>
      <c r="E33" s="12">
        <v>808.9</v>
      </c>
      <c r="F33" s="12">
        <v>898.4</v>
      </c>
      <c r="G33" s="12">
        <v>923</v>
      </c>
      <c r="H33" s="12">
        <v>984</v>
      </c>
      <c r="I33" s="12">
        <v>895.6</v>
      </c>
      <c r="J33" s="13">
        <f t="shared" ref="J33:Q33" si="17">I33</f>
        <v>895.6</v>
      </c>
      <c r="K33" s="13">
        <f t="shared" si="17"/>
        <v>895.6</v>
      </c>
      <c r="L33" s="13">
        <f t="shared" si="17"/>
        <v>895.6</v>
      </c>
      <c r="M33" s="13">
        <f t="shared" si="17"/>
        <v>895.6</v>
      </c>
      <c r="N33" s="13">
        <f t="shared" si="17"/>
        <v>895.6</v>
      </c>
      <c r="O33" s="13">
        <f t="shared" si="17"/>
        <v>895.6</v>
      </c>
      <c r="P33" s="13">
        <f t="shared" si="17"/>
        <v>895.6</v>
      </c>
      <c r="Q33" s="13">
        <f t="shared" si="17"/>
        <v>895.6</v>
      </c>
      <c r="R33" s="2"/>
      <c r="S33" s="2"/>
      <c r="T33" s="13">
        <f>IF(ISBLANK(D33),"",D33)</f>
        <v>684.3</v>
      </c>
      <c r="U33" s="13">
        <f>IF(ISBLANK(H33),"",H33)</f>
        <v>984</v>
      </c>
      <c r="V33" s="13">
        <f>IF(ISBLANK(L33),"",L33)</f>
        <v>895.6</v>
      </c>
      <c r="W33" s="13">
        <f t="shared" si="16"/>
        <v>895.6</v>
      </c>
      <c r="X33" s="13">
        <f t="shared" si="16"/>
        <v>895.6</v>
      </c>
      <c r="Y33" s="2"/>
      <c r="Z33" s="2"/>
      <c r="AA33" s="21" t="s">
        <v>95</v>
      </c>
    </row>
    <row r="34" spans="1:27">
      <c r="A34" s="8" t="s">
        <v>96</v>
      </c>
      <c r="B34" s="14">
        <f t="shared" ref="B34:Q34" si="18">B30+B31+B32+B33</f>
        <v>13512.6</v>
      </c>
      <c r="C34" s="14">
        <f t="shared" si="18"/>
        <v>13601.300000000001</v>
      </c>
      <c r="D34" s="14">
        <f t="shared" si="18"/>
        <v>14218.4</v>
      </c>
      <c r="E34" s="14">
        <f t="shared" si="18"/>
        <v>14412.4</v>
      </c>
      <c r="F34" s="14">
        <f t="shared" si="18"/>
        <v>14397.1</v>
      </c>
      <c r="G34" s="14">
        <f t="shared" si="18"/>
        <v>14704.599999999999</v>
      </c>
      <c r="H34" s="14">
        <f t="shared" si="18"/>
        <v>15042.9</v>
      </c>
      <c r="I34" s="14">
        <f t="shared" si="18"/>
        <v>15852.900000000001</v>
      </c>
      <c r="J34" s="14">
        <f t="shared" si="18"/>
        <v>15964.926545674349</v>
      </c>
      <c r="K34" s="14">
        <f t="shared" si="18"/>
        <v>16091.395516936025</v>
      </c>
      <c r="L34" s="14">
        <f t="shared" si="18"/>
        <v>16250.934924073104</v>
      </c>
      <c r="M34" s="14">
        <f t="shared" si="18"/>
        <v>16513.44008900597</v>
      </c>
      <c r="N34" s="14">
        <f t="shared" si="18"/>
        <v>16722.037313201923</v>
      </c>
      <c r="O34" s="14">
        <f t="shared" si="18"/>
        <v>16942.465371903298</v>
      </c>
      <c r="P34" s="14">
        <f t="shared" si="18"/>
        <v>17224.036510751175</v>
      </c>
      <c r="Q34" s="14">
        <f t="shared" si="18"/>
        <v>17484.413861070141</v>
      </c>
      <c r="R34" s="2"/>
      <c r="S34" s="2"/>
      <c r="T34" s="13">
        <f>IF(ISBLANK(D34),"",D34)</f>
        <v>14218.4</v>
      </c>
      <c r="U34" s="13">
        <f>IF(ISBLANK(H34),"",H34)</f>
        <v>15042.9</v>
      </c>
      <c r="V34" s="13">
        <f>IF(ISBLANK(L34),"",L34)</f>
        <v>16250.934924073104</v>
      </c>
      <c r="W34" s="13">
        <f t="shared" si="16"/>
        <v>17224.036510751175</v>
      </c>
      <c r="X34" s="13">
        <f t="shared" si="16"/>
        <v>17484.413861070141</v>
      </c>
      <c r="Y34" s="2"/>
      <c r="Z34" s="2"/>
      <c r="AA34" s="21" t="s">
        <v>97</v>
      </c>
    </row>
    <row r="35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8" t="s">
        <v>98</v>
      </c>
      <c r="B36" s="12">
        <v>4312.6000000000004</v>
      </c>
      <c r="C36" s="12">
        <v>4732.6000000000004</v>
      </c>
      <c r="D36" s="12">
        <v>4787.2</v>
      </c>
      <c r="E36" s="12">
        <v>5254.6</v>
      </c>
      <c r="F36" s="12">
        <v>5878.4</v>
      </c>
      <c r="G36" s="12">
        <v>6064.8</v>
      </c>
      <c r="H36" s="12">
        <v>6180.1</v>
      </c>
      <c r="I36" s="12">
        <v>6243.1</v>
      </c>
      <c r="J36" s="26">
        <f>I36-FS!J64-I36*FS!$B$100</f>
        <v>6320.2821600000007</v>
      </c>
      <c r="K36" s="26">
        <f>J36-FS!K64-J36*FS!$B$100</f>
        <v>6395.4267109760003</v>
      </c>
      <c r="L36" s="26">
        <f>K36-FS!L64-K36*FS!$B$100</f>
        <v>6468.5874458062335</v>
      </c>
      <c r="M36" s="26">
        <f>L36-FS!M64-L36*FS!$B$100</f>
        <v>6539.8167372369489</v>
      </c>
      <c r="N36" s="26">
        <f>M36-FS!N64-M36*FS!$B$100</f>
        <v>6609.1655753738933</v>
      </c>
      <c r="O36" s="26">
        <f>N36-FS!O64-N36*FS!$B$100</f>
        <v>6676.6836041840224</v>
      </c>
      <c r="P36" s="26">
        <f>O36-FS!P64-O36*FS!$B$100</f>
        <v>6742.4191570335643</v>
      </c>
      <c r="Q36" s="26">
        <f>P36-FS!Q64-P36*FS!$B$100</f>
        <v>6806.419291287878</v>
      </c>
      <c r="R36" s="2"/>
      <c r="S36" s="2"/>
      <c r="T36" s="13">
        <f>IF(ISBLANK(D36),"",D36)</f>
        <v>4787.2</v>
      </c>
      <c r="U36" s="13">
        <f>IF(ISBLANK(H36),"",H36)</f>
        <v>6180.1</v>
      </c>
      <c r="V36" s="13">
        <f>IF(ISBLANK(L36),"",L36)</f>
        <v>6468.5874458062335</v>
      </c>
      <c r="W36" s="13">
        <f t="shared" ref="W36:X38" si="19">IF(ISBLANK(P36),"",P36)</f>
        <v>6742.4191570335643</v>
      </c>
      <c r="X36" s="13">
        <f t="shared" si="19"/>
        <v>6806.419291287878</v>
      </c>
      <c r="Y36" s="2"/>
      <c r="Z36" s="2"/>
      <c r="AA36" s="21" t="s">
        <v>99</v>
      </c>
    </row>
    <row r="37" spans="1:27">
      <c r="A37" s="8" t="s">
        <v>100</v>
      </c>
      <c r="B37" s="22">
        <f t="shared" ref="B37:I37" si="20">B38-B34-B36</f>
        <v>2791.3999999999978</v>
      </c>
      <c r="C37" s="22">
        <f t="shared" si="20"/>
        <v>2911.7999999999993</v>
      </c>
      <c r="D37" s="22">
        <f t="shared" si="20"/>
        <v>2002.1000000000013</v>
      </c>
      <c r="E37" s="22">
        <f t="shared" si="20"/>
        <v>1398.4000000000015</v>
      </c>
      <c r="F37" s="22">
        <f t="shared" si="20"/>
        <v>1710.5</v>
      </c>
      <c r="G37" s="22">
        <f t="shared" si="20"/>
        <v>1781.800000000002</v>
      </c>
      <c r="H37" s="22">
        <f t="shared" si="20"/>
        <v>1895.4000000000015</v>
      </c>
      <c r="I37" s="22">
        <f t="shared" si="20"/>
        <v>1589.7999999999975</v>
      </c>
      <c r="J37" s="13">
        <f t="shared" ref="J37:Q37" si="21">I37</f>
        <v>1589.7999999999975</v>
      </c>
      <c r="K37" s="13">
        <f t="shared" si="21"/>
        <v>1589.7999999999975</v>
      </c>
      <c r="L37" s="13">
        <f t="shared" si="21"/>
        <v>1589.7999999999975</v>
      </c>
      <c r="M37" s="13">
        <f t="shared" si="21"/>
        <v>1589.7999999999975</v>
      </c>
      <c r="N37" s="13">
        <f t="shared" si="21"/>
        <v>1589.7999999999975</v>
      </c>
      <c r="O37" s="13">
        <f t="shared" si="21"/>
        <v>1589.7999999999975</v>
      </c>
      <c r="P37" s="13">
        <f t="shared" si="21"/>
        <v>1589.7999999999975</v>
      </c>
      <c r="Q37" s="13">
        <f t="shared" si="21"/>
        <v>1589.7999999999975</v>
      </c>
      <c r="R37" s="2"/>
      <c r="S37" s="2"/>
      <c r="T37" s="13">
        <f>IF(ISBLANK(D37),"",D37)</f>
        <v>2002.1000000000013</v>
      </c>
      <c r="U37" s="13">
        <f>IF(ISBLANK(H37),"",H37)</f>
        <v>1895.4000000000015</v>
      </c>
      <c r="V37" s="13">
        <f>IF(ISBLANK(L37),"",L37)</f>
        <v>1589.7999999999975</v>
      </c>
      <c r="W37" s="13">
        <f t="shared" si="19"/>
        <v>1589.7999999999975</v>
      </c>
      <c r="X37" s="13">
        <f t="shared" si="19"/>
        <v>1589.7999999999975</v>
      </c>
      <c r="Y37" s="2"/>
      <c r="Z37" s="2"/>
      <c r="AA37" s="21" t="s">
        <v>101</v>
      </c>
    </row>
    <row r="38" spans="1:27">
      <c r="A38" s="8" t="s">
        <v>102</v>
      </c>
      <c r="B38" s="33">
        <v>20616.599999999999</v>
      </c>
      <c r="C38" s="33">
        <v>21245.7</v>
      </c>
      <c r="D38" s="33">
        <v>21007.7</v>
      </c>
      <c r="E38" s="33">
        <v>21065.4</v>
      </c>
      <c r="F38" s="33">
        <v>21986</v>
      </c>
      <c r="G38" s="33">
        <v>22551.200000000001</v>
      </c>
      <c r="H38" s="33">
        <v>23118.400000000001</v>
      </c>
      <c r="I38" s="33">
        <v>23685.8</v>
      </c>
      <c r="J38" s="15">
        <f t="shared" ref="J38:Q38" si="22">J34+J36+J37</f>
        <v>23875.008705674343</v>
      </c>
      <c r="K38" s="15">
        <f t="shared" si="22"/>
        <v>24076.622227912019</v>
      </c>
      <c r="L38" s="15">
        <f t="shared" si="22"/>
        <v>24309.322369879337</v>
      </c>
      <c r="M38" s="15">
        <f t="shared" si="22"/>
        <v>24643.056826242915</v>
      </c>
      <c r="N38" s="15">
        <f t="shared" si="22"/>
        <v>24921.002888575815</v>
      </c>
      <c r="O38" s="15">
        <f t="shared" si="22"/>
        <v>25208.948976087318</v>
      </c>
      <c r="P38" s="15">
        <f t="shared" si="22"/>
        <v>25556.255667784739</v>
      </c>
      <c r="Q38" s="15">
        <f t="shared" si="22"/>
        <v>25880.633152358016</v>
      </c>
      <c r="R38" s="2"/>
      <c r="S38" s="2"/>
      <c r="T38" s="13">
        <f>IF(ISBLANK(D38),"",D38)</f>
        <v>21007.7</v>
      </c>
      <c r="U38" s="13">
        <f>IF(ISBLANK(H38),"",H38)</f>
        <v>23118.400000000001</v>
      </c>
      <c r="V38" s="13">
        <f>IF(ISBLANK(L38),"",L38)</f>
        <v>24309.322369879337</v>
      </c>
      <c r="W38" s="13">
        <f t="shared" si="19"/>
        <v>25556.255667784739</v>
      </c>
      <c r="X38" s="13">
        <f t="shared" si="19"/>
        <v>25880.633152358016</v>
      </c>
      <c r="Y38" s="14">
        <f>Q38</f>
        <v>25880.633152358016</v>
      </c>
      <c r="Z38" s="2"/>
      <c r="AA38" s="21" t="s">
        <v>103</v>
      </c>
    </row>
    <row r="39" spans="1:2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8" t="s">
        <v>104</v>
      </c>
      <c r="B40" s="12">
        <v>482.8</v>
      </c>
      <c r="C40" s="12">
        <v>529.79999999999995</v>
      </c>
      <c r="D40" s="12">
        <v>469</v>
      </c>
      <c r="E40" s="12">
        <v>519.9</v>
      </c>
      <c r="F40" s="12">
        <v>501.8</v>
      </c>
      <c r="G40" s="12">
        <v>356.3</v>
      </c>
      <c r="H40" s="12">
        <v>318.2</v>
      </c>
      <c r="I40" s="12">
        <v>421.2</v>
      </c>
      <c r="J40" s="26">
        <f>J57*FS!J5/91</f>
        <v>392.08828401098901</v>
      </c>
      <c r="K40" s="26">
        <f>K57*FS!K5/91</f>
        <v>423.03189138513625</v>
      </c>
      <c r="L40" s="26">
        <f>L57*FS!L5/91</f>
        <v>426.89793283696156</v>
      </c>
      <c r="M40" s="26">
        <f>M57*FS!M5/91</f>
        <v>460.81120685439191</v>
      </c>
      <c r="N40" s="26">
        <f>N57*FS!N5/91</f>
        <v>449.42917004508848</v>
      </c>
      <c r="O40" s="26">
        <f>O57*FS!O5/91</f>
        <v>448.71008337301635</v>
      </c>
      <c r="P40" s="26">
        <f>P57*FS!P5/91</f>
        <v>479.22236904238139</v>
      </c>
      <c r="Q40" s="26">
        <f>Q57*FS!Q5/91</f>
        <v>516.25497181075946</v>
      </c>
      <c r="R40" s="2"/>
      <c r="S40" s="2"/>
      <c r="T40" s="13">
        <f>IF(ISBLANK(D40),"",D40)</f>
        <v>469</v>
      </c>
      <c r="U40" s="13">
        <f>IF(ISBLANK(H40),"",H40)</f>
        <v>318.2</v>
      </c>
      <c r="V40" s="13">
        <f>IF(ISBLANK(L40),"",L40)</f>
        <v>426.89793283696156</v>
      </c>
      <c r="W40" s="13">
        <f t="shared" ref="W40:X43" si="23">IF(ISBLANK(P40),"",P40)</f>
        <v>479.22236904238139</v>
      </c>
      <c r="X40" s="13">
        <f t="shared" si="23"/>
        <v>516.25497181075946</v>
      </c>
      <c r="Y40" s="2"/>
      <c r="Z40" s="2"/>
      <c r="AA40" s="21" t="s">
        <v>105</v>
      </c>
    </row>
    <row r="41" spans="1:27">
      <c r="A41" s="8" t="s">
        <v>106</v>
      </c>
      <c r="B41" s="12">
        <v>119.4</v>
      </c>
      <c r="C41" s="12">
        <v>50.4</v>
      </c>
      <c r="D41" s="12">
        <v>50.4</v>
      </c>
      <c r="E41" s="12">
        <v>50</v>
      </c>
      <c r="F41" s="12">
        <v>50</v>
      </c>
      <c r="G41" s="12">
        <v>350.9</v>
      </c>
      <c r="H41" s="12">
        <v>50.9</v>
      </c>
      <c r="I41" s="12">
        <v>50</v>
      </c>
      <c r="J41" s="26">
        <f>I41+FS!J77</f>
        <v>50</v>
      </c>
      <c r="K41" s="26">
        <f>J41+FS!K77</f>
        <v>50</v>
      </c>
      <c r="L41" s="26">
        <f>K41+FS!L77</f>
        <v>50</v>
      </c>
      <c r="M41" s="26">
        <f>L41+FS!M77</f>
        <v>50</v>
      </c>
      <c r="N41" s="26">
        <f>M41+FS!N77</f>
        <v>50</v>
      </c>
      <c r="O41" s="26">
        <f>N41+FS!O77</f>
        <v>50</v>
      </c>
      <c r="P41" s="26">
        <f>O41+FS!P77</f>
        <v>50</v>
      </c>
      <c r="Q41" s="26">
        <f>P41+FS!Q77</f>
        <v>50</v>
      </c>
      <c r="R41" s="2"/>
      <c r="S41" s="2"/>
      <c r="T41" s="13">
        <f>IF(ISBLANK(D41),"",D41)</f>
        <v>50.4</v>
      </c>
      <c r="U41" s="13">
        <f>IF(ISBLANK(H41),"",H41)</f>
        <v>50.9</v>
      </c>
      <c r="V41" s="13">
        <f>IF(ISBLANK(L41),"",L41)</f>
        <v>50</v>
      </c>
      <c r="W41" s="13">
        <f t="shared" si="23"/>
        <v>50</v>
      </c>
      <c r="X41" s="13">
        <f t="shared" si="23"/>
        <v>50</v>
      </c>
      <c r="Y41" s="2"/>
      <c r="Z41" s="2"/>
      <c r="AA41" s="21" t="s">
        <v>107</v>
      </c>
    </row>
    <row r="42" spans="1:27">
      <c r="A42" s="8" t="s">
        <v>108</v>
      </c>
      <c r="B42" s="22">
        <f t="shared" ref="B42:I42" si="24">B43-B40-B41</f>
        <v>1227.5999999999999</v>
      </c>
      <c r="C42" s="22">
        <f t="shared" si="24"/>
        <v>1206.5</v>
      </c>
      <c r="D42" s="22">
        <f t="shared" si="24"/>
        <v>1205.1999999999998</v>
      </c>
      <c r="E42" s="22">
        <f t="shared" si="24"/>
        <v>1308.3000000000002</v>
      </c>
      <c r="F42" s="22">
        <f t="shared" si="24"/>
        <v>1699.3999999999999</v>
      </c>
      <c r="G42" s="22">
        <f t="shared" si="24"/>
        <v>1420.3000000000002</v>
      </c>
      <c r="H42" s="22">
        <f t="shared" si="24"/>
        <v>1596.8999999999999</v>
      </c>
      <c r="I42" s="22">
        <f t="shared" si="24"/>
        <v>1666.3</v>
      </c>
      <c r="J42" s="13">
        <f t="shared" ref="J42:Q42" si="25">I42</f>
        <v>1666.3</v>
      </c>
      <c r="K42" s="13">
        <f t="shared" si="25"/>
        <v>1666.3</v>
      </c>
      <c r="L42" s="13">
        <f t="shared" si="25"/>
        <v>1666.3</v>
      </c>
      <c r="M42" s="13">
        <f t="shared" si="25"/>
        <v>1666.3</v>
      </c>
      <c r="N42" s="13">
        <f t="shared" si="25"/>
        <v>1666.3</v>
      </c>
      <c r="O42" s="13">
        <f t="shared" si="25"/>
        <v>1666.3</v>
      </c>
      <c r="P42" s="13">
        <f t="shared" si="25"/>
        <v>1666.3</v>
      </c>
      <c r="Q42" s="13">
        <f t="shared" si="25"/>
        <v>1666.3</v>
      </c>
      <c r="R42" s="2"/>
      <c r="S42" s="2"/>
      <c r="T42" s="13">
        <f>IF(ISBLANK(D42),"",D42)</f>
        <v>1205.1999999999998</v>
      </c>
      <c r="U42" s="13">
        <f>IF(ISBLANK(H42),"",H42)</f>
        <v>1596.8999999999999</v>
      </c>
      <c r="V42" s="13">
        <f>IF(ISBLANK(L42),"",L42)</f>
        <v>1666.3</v>
      </c>
      <c r="W42" s="13">
        <f t="shared" si="23"/>
        <v>1666.3</v>
      </c>
      <c r="X42" s="13">
        <f t="shared" si="23"/>
        <v>1666.3</v>
      </c>
      <c r="Y42" s="2"/>
      <c r="Z42" s="2"/>
      <c r="AA42" s="21" t="s">
        <v>109</v>
      </c>
    </row>
    <row r="43" spans="1:27">
      <c r="A43" s="8" t="s">
        <v>110</v>
      </c>
      <c r="B43" s="33">
        <v>1829.8</v>
      </c>
      <c r="C43" s="33">
        <v>1786.7</v>
      </c>
      <c r="D43" s="33">
        <v>1724.6</v>
      </c>
      <c r="E43" s="33">
        <v>1878.2</v>
      </c>
      <c r="F43" s="33">
        <v>2251.1999999999998</v>
      </c>
      <c r="G43" s="33">
        <v>2127.5</v>
      </c>
      <c r="H43" s="33">
        <v>1966</v>
      </c>
      <c r="I43" s="33">
        <v>2137.5</v>
      </c>
      <c r="J43" s="15">
        <f t="shared" ref="J43:Q43" si="26">J40+J41+J42</f>
        <v>2108.3882840109891</v>
      </c>
      <c r="K43" s="15">
        <f t="shared" si="26"/>
        <v>2139.3318913851363</v>
      </c>
      <c r="L43" s="15">
        <f t="shared" si="26"/>
        <v>2143.1979328369616</v>
      </c>
      <c r="M43" s="15">
        <f t="shared" si="26"/>
        <v>2177.1112068543916</v>
      </c>
      <c r="N43" s="15">
        <f t="shared" si="26"/>
        <v>2165.7291700450883</v>
      </c>
      <c r="O43" s="15">
        <f t="shared" si="26"/>
        <v>2165.0100833730162</v>
      </c>
      <c r="P43" s="15">
        <f t="shared" si="26"/>
        <v>2195.5223690423813</v>
      </c>
      <c r="Q43" s="15">
        <f t="shared" si="26"/>
        <v>2232.5549718107595</v>
      </c>
      <c r="R43" s="2"/>
      <c r="S43" s="2"/>
      <c r="T43" s="13">
        <f>IF(ISBLANK(D43),"",D43)</f>
        <v>1724.6</v>
      </c>
      <c r="U43" s="13">
        <f>IF(ISBLANK(H43),"",H43)</f>
        <v>1966</v>
      </c>
      <c r="V43" s="13">
        <f>IF(ISBLANK(L43),"",L43)</f>
        <v>2143.1979328369616</v>
      </c>
      <c r="W43" s="13">
        <f t="shared" si="23"/>
        <v>2195.5223690423813</v>
      </c>
      <c r="X43" s="13">
        <f t="shared" si="23"/>
        <v>2232.5549718107595</v>
      </c>
      <c r="Y43" s="2"/>
      <c r="Z43" s="2"/>
      <c r="AA43" s="21" t="s">
        <v>111</v>
      </c>
    </row>
    <row r="44" spans="1:2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8" t="s">
        <v>112</v>
      </c>
      <c r="B45" s="33">
        <v>18781.7</v>
      </c>
      <c r="C45" s="33">
        <v>19461</v>
      </c>
      <c r="D45" s="33">
        <v>19285</v>
      </c>
      <c r="E45" s="33">
        <v>19190.599999999999</v>
      </c>
      <c r="F45" s="33">
        <v>19743.400000000001</v>
      </c>
      <c r="G45" s="33">
        <v>20431.400000000001</v>
      </c>
      <c r="H45" s="33">
        <v>21153.3</v>
      </c>
      <c r="I45" s="33">
        <v>21554</v>
      </c>
      <c r="J45" s="25">
        <f>I45+FS!J18-FS!J23*FS!J21/100-FS!J76</f>
        <v>21772.32042166336</v>
      </c>
      <c r="K45" s="25">
        <f>J45+FS!K18-FS!K23*FS!K21/100-FS!K76</f>
        <v>21942.990336526891</v>
      </c>
      <c r="L45" s="25">
        <f>K45+FS!L18-FS!L23*FS!L21/100-FS!L76</f>
        <v>22171.824437042378</v>
      </c>
      <c r="M45" s="25">
        <f>L45+FS!M18-FS!M23*FS!M21/100-FS!M76</f>
        <v>22471.645619388531</v>
      </c>
      <c r="N45" s="25">
        <f>M45+FS!N18-FS!N23*FS!N21/100-FS!N76</f>
        <v>22760.973718530731</v>
      </c>
      <c r="O45" s="25">
        <f>N45+FS!O18-FS!O23*FS!O21/100-FS!O76</f>
        <v>23049.638892714305</v>
      </c>
      <c r="P45" s="25">
        <f>O45+FS!P18-FS!P23*FS!P21/100-FS!P76</f>
        <v>23366.433298742362</v>
      </c>
      <c r="Q45" s="25">
        <f>P45+FS!Q18-FS!Q23*FS!Q21/100-FS!Q76</f>
        <v>23653.778180547262</v>
      </c>
      <c r="R45" s="2"/>
      <c r="S45" s="2"/>
      <c r="T45" s="13">
        <f>IF(ISBLANK(D45),"",D45)</f>
        <v>19285</v>
      </c>
      <c r="U45" s="13">
        <f>IF(ISBLANK(H45),"",H45)</f>
        <v>21153.3</v>
      </c>
      <c r="V45" s="13">
        <f>IF(ISBLANK(L45),"",L45)</f>
        <v>22171.824437042378</v>
      </c>
      <c r="W45" s="13">
        <f t="shared" ref="W45:X48" si="27">IF(ISBLANK(P45),"",P45)</f>
        <v>23366.433298742362</v>
      </c>
      <c r="X45" s="13">
        <f t="shared" si="27"/>
        <v>23653.778180547262</v>
      </c>
      <c r="Y45" s="14">
        <f>Q45</f>
        <v>23653.778180547262</v>
      </c>
      <c r="Z45" s="2"/>
      <c r="AA45" s="21" t="s">
        <v>113</v>
      </c>
    </row>
    <row r="46" spans="1:27">
      <c r="A46" s="8" t="s">
        <v>114</v>
      </c>
      <c r="B46" s="12">
        <v>17624.7</v>
      </c>
      <c r="C46" s="12">
        <v>17726.7</v>
      </c>
      <c r="D46" s="12">
        <v>18086.3</v>
      </c>
      <c r="E46" s="12">
        <v>16084.6</v>
      </c>
      <c r="F46" s="12">
        <v>16530.400000000001</v>
      </c>
      <c r="G46" s="12">
        <v>16642.400000000001</v>
      </c>
      <c r="H46" s="12">
        <v>17099.400000000001</v>
      </c>
      <c r="I46" s="12">
        <v>17462.2</v>
      </c>
      <c r="J46" s="26">
        <f>I46+FS!J18-FS!J75-FS!J76</f>
        <v>17680.520421663361</v>
      </c>
      <c r="K46" s="26">
        <f>J46+FS!K18-FS!K75-FS!K76</f>
        <v>17851.190336526892</v>
      </c>
      <c r="L46" s="26">
        <f>K46+FS!L18-FS!L75-FS!L76</f>
        <v>18080.024437042379</v>
      </c>
      <c r="M46" s="26">
        <f>L46+FS!M18-FS!M75-FS!M76</f>
        <v>18379.845619388532</v>
      </c>
      <c r="N46" s="26">
        <f>M46+FS!N18-FS!N75-FS!N76</f>
        <v>18669.173718530736</v>
      </c>
      <c r="O46" s="26">
        <f>N46+FS!O18-FS!O75-FS!O76</f>
        <v>18957.83889271431</v>
      </c>
      <c r="P46" s="26">
        <f>O46+FS!P18-FS!P75-FS!P76</f>
        <v>19274.633298742367</v>
      </c>
      <c r="Q46" s="26">
        <f>P46+FS!Q18-FS!Q75-FS!Q76</f>
        <v>19561.978180547267</v>
      </c>
      <c r="R46" s="2"/>
      <c r="S46" s="2"/>
      <c r="T46" s="13">
        <f>IF(ISBLANK(D46),"",D46)</f>
        <v>18086.3</v>
      </c>
      <c r="U46" s="13">
        <f>IF(ISBLANK(H46),"",H46)</f>
        <v>17099.400000000001</v>
      </c>
      <c r="V46" s="13">
        <f>IF(ISBLANK(L46),"",L46)</f>
        <v>18080.024437042379</v>
      </c>
      <c r="W46" s="13">
        <f t="shared" si="27"/>
        <v>19274.633298742367</v>
      </c>
      <c r="X46" s="13">
        <f t="shared" si="27"/>
        <v>19561.978180547267</v>
      </c>
      <c r="Y46" s="2"/>
      <c r="Z46" s="2"/>
      <c r="AA46" s="21" t="s">
        <v>115</v>
      </c>
    </row>
    <row r="47" spans="1:27">
      <c r="A47" s="8" t="s">
        <v>116</v>
      </c>
      <c r="B47" s="12">
        <v>5.0999999999999996</v>
      </c>
      <c r="C47" s="12">
        <v>-2.1</v>
      </c>
      <c r="D47" s="12">
        <v>-2</v>
      </c>
      <c r="E47" s="12">
        <v>-3.4</v>
      </c>
      <c r="F47" s="12">
        <v>-8.6</v>
      </c>
      <c r="G47" s="12">
        <v>-7.7</v>
      </c>
      <c r="H47" s="12">
        <v>-0.9</v>
      </c>
      <c r="I47" s="12">
        <v>-5.8</v>
      </c>
      <c r="J47" s="22">
        <f t="shared" ref="J47:Q47" si="28">I47</f>
        <v>-5.8</v>
      </c>
      <c r="K47" s="22">
        <f t="shared" si="28"/>
        <v>-5.8</v>
      </c>
      <c r="L47" s="22">
        <f t="shared" si="28"/>
        <v>-5.8</v>
      </c>
      <c r="M47" s="22">
        <f t="shared" si="28"/>
        <v>-5.8</v>
      </c>
      <c r="N47" s="22">
        <f t="shared" si="28"/>
        <v>-5.8</v>
      </c>
      <c r="O47" s="22">
        <f t="shared" si="28"/>
        <v>-5.8</v>
      </c>
      <c r="P47" s="22">
        <f t="shared" si="28"/>
        <v>-5.8</v>
      </c>
      <c r="Q47" s="22">
        <f t="shared" si="28"/>
        <v>-5.8</v>
      </c>
      <c r="R47" s="2"/>
      <c r="S47" s="2"/>
      <c r="T47" s="13">
        <f>IF(ISBLANK(D47),"",D47)</f>
        <v>-2</v>
      </c>
      <c r="U47" s="13">
        <f>IF(ISBLANK(H47),"",H47)</f>
        <v>-0.9</v>
      </c>
      <c r="V47" s="13">
        <f>IF(ISBLANK(L47),"",L47)</f>
        <v>-5.8</v>
      </c>
      <c r="W47" s="13">
        <f t="shared" si="27"/>
        <v>-5.8</v>
      </c>
      <c r="X47" s="13">
        <f t="shared" si="27"/>
        <v>-5.8</v>
      </c>
      <c r="Y47" s="2"/>
      <c r="Z47" s="2"/>
      <c r="AA47" s="21" t="s">
        <v>95</v>
      </c>
    </row>
    <row r="48" spans="1:27">
      <c r="A48" s="8" t="s">
        <v>117</v>
      </c>
      <c r="B48" s="14">
        <f t="shared" ref="B48:Q48" si="29">B45+B47</f>
        <v>18786.8</v>
      </c>
      <c r="C48" s="14">
        <f t="shared" si="29"/>
        <v>19458.900000000001</v>
      </c>
      <c r="D48" s="14">
        <f t="shared" si="29"/>
        <v>19283</v>
      </c>
      <c r="E48" s="14">
        <f t="shared" si="29"/>
        <v>19187.199999999997</v>
      </c>
      <c r="F48" s="14">
        <f t="shared" si="29"/>
        <v>19734.800000000003</v>
      </c>
      <c r="G48" s="14">
        <f t="shared" si="29"/>
        <v>20423.7</v>
      </c>
      <c r="H48" s="14">
        <f t="shared" si="29"/>
        <v>21152.399999999998</v>
      </c>
      <c r="I48" s="14">
        <f t="shared" si="29"/>
        <v>21548.2</v>
      </c>
      <c r="J48" s="14">
        <f t="shared" si="29"/>
        <v>21766.520421663361</v>
      </c>
      <c r="K48" s="14">
        <f t="shared" si="29"/>
        <v>21937.190336526892</v>
      </c>
      <c r="L48" s="14">
        <f t="shared" si="29"/>
        <v>22166.024437042379</v>
      </c>
      <c r="M48" s="14">
        <f t="shared" si="29"/>
        <v>22465.845619388532</v>
      </c>
      <c r="N48" s="14">
        <f t="shared" si="29"/>
        <v>22755.173718530732</v>
      </c>
      <c r="O48" s="14">
        <f t="shared" si="29"/>
        <v>23043.838892714306</v>
      </c>
      <c r="P48" s="14">
        <f t="shared" si="29"/>
        <v>23360.633298742363</v>
      </c>
      <c r="Q48" s="14">
        <f t="shared" si="29"/>
        <v>23647.978180547263</v>
      </c>
      <c r="R48" s="2"/>
      <c r="S48" s="2"/>
      <c r="T48" s="13">
        <f>IF(ISBLANK(D48),"",D48)</f>
        <v>19283</v>
      </c>
      <c r="U48" s="13">
        <f>IF(ISBLANK(H48),"",H48)</f>
        <v>21152.399999999998</v>
      </c>
      <c r="V48" s="13">
        <f>IF(ISBLANK(L48),"",L48)</f>
        <v>22166.024437042379</v>
      </c>
      <c r="W48" s="13">
        <f t="shared" si="27"/>
        <v>23360.633298742363</v>
      </c>
      <c r="X48" s="13">
        <f t="shared" si="27"/>
        <v>23647.978180547263</v>
      </c>
      <c r="Y48" s="2"/>
      <c r="Z48" s="2"/>
      <c r="AA48" s="21" t="s">
        <v>118</v>
      </c>
    </row>
    <row r="49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8" t="s">
        <v>119</v>
      </c>
      <c r="B50" s="34">
        <f t="shared" ref="B50:Q50" si="30">B38-B43-B48</f>
        <v>0</v>
      </c>
      <c r="C50" s="34">
        <f t="shared" si="30"/>
        <v>9.9999999998544808E-2</v>
      </c>
      <c r="D50" s="34">
        <f t="shared" si="30"/>
        <v>0.10000000000218279</v>
      </c>
      <c r="E50" s="34">
        <f t="shared" si="30"/>
        <v>0</v>
      </c>
      <c r="F50" s="34">
        <f t="shared" si="30"/>
        <v>0</v>
      </c>
      <c r="G50" s="34">
        <f t="shared" si="30"/>
        <v>0</v>
      </c>
      <c r="H50" s="34">
        <f t="shared" si="30"/>
        <v>0</v>
      </c>
      <c r="I50" s="34">
        <f t="shared" si="30"/>
        <v>9.9999999998544808E-2</v>
      </c>
      <c r="J50" s="34">
        <f t="shared" si="30"/>
        <v>9.999999999490683E-2</v>
      </c>
      <c r="K50" s="34">
        <f t="shared" si="30"/>
        <v>9.9999999991268851E-2</v>
      </c>
      <c r="L50" s="34">
        <f t="shared" si="30"/>
        <v>9.999999999490683E-2</v>
      </c>
      <c r="M50" s="34">
        <f t="shared" si="30"/>
        <v>9.9999999991268851E-2</v>
      </c>
      <c r="N50" s="34">
        <f t="shared" si="30"/>
        <v>9.999999999490683E-2</v>
      </c>
      <c r="O50" s="34">
        <f t="shared" si="30"/>
        <v>9.999999999490683E-2</v>
      </c>
      <c r="P50" s="34">
        <f t="shared" si="30"/>
        <v>9.999999999490683E-2</v>
      </c>
      <c r="Q50" s="34">
        <f t="shared" si="30"/>
        <v>9.999999999490683E-2</v>
      </c>
      <c r="R50" s="2"/>
      <c r="S50" s="2"/>
      <c r="T50" s="2"/>
      <c r="U50" s="2"/>
      <c r="V50" s="2"/>
      <c r="W50" s="2"/>
      <c r="X50" s="2"/>
      <c r="Y50" s="2"/>
      <c r="Z50" s="2"/>
      <c r="AA50" s="21" t="s">
        <v>120</v>
      </c>
    </row>
    <row r="51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35" t="s">
        <v>121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5" t="s">
        <v>3</v>
      </c>
      <c r="C54" s="5" t="s">
        <v>4</v>
      </c>
      <c r="D54" s="5" t="s">
        <v>5</v>
      </c>
      <c r="E54" s="5" t="s">
        <v>6</v>
      </c>
      <c r="F54" s="5" t="s">
        <v>7</v>
      </c>
      <c r="G54" s="5" t="s">
        <v>8</v>
      </c>
      <c r="H54" s="5" t="s">
        <v>9</v>
      </c>
      <c r="I54" s="5" t="s">
        <v>10</v>
      </c>
      <c r="J54" s="6" t="s">
        <v>11</v>
      </c>
      <c r="K54" s="6" t="s">
        <v>12</v>
      </c>
      <c r="L54" s="6" t="s">
        <v>13</v>
      </c>
      <c r="M54" s="6" t="s">
        <v>14</v>
      </c>
      <c r="N54" s="6" t="s">
        <v>15</v>
      </c>
      <c r="O54" s="6" t="s">
        <v>16</v>
      </c>
      <c r="P54" s="6" t="s">
        <v>17</v>
      </c>
      <c r="Q54" s="6" t="s">
        <v>18</v>
      </c>
      <c r="R54" s="2"/>
      <c r="S54" s="2"/>
      <c r="T54" s="7" t="s">
        <v>19</v>
      </c>
      <c r="U54" s="7" t="s">
        <v>20</v>
      </c>
      <c r="V54" s="7" t="s">
        <v>21</v>
      </c>
      <c r="W54" s="7" t="s">
        <v>22</v>
      </c>
      <c r="X54" s="7" t="s">
        <v>23</v>
      </c>
      <c r="Y54" s="2"/>
      <c r="Z54" s="2"/>
      <c r="AA54" s="2"/>
    </row>
    <row r="55" spans="1:27">
      <c r="A55" s="8" t="s">
        <v>122</v>
      </c>
      <c r="B55" s="36">
        <f>FS!B31/FS!B4*91</f>
        <v>93.612440191387549</v>
      </c>
      <c r="C55" s="36">
        <f>FS!C31/FS!C4*91</f>
        <v>96.080910951893543</v>
      </c>
      <c r="D55" s="36">
        <f>FS!D31/FS!D4*91</f>
        <v>93.852070419042903</v>
      </c>
      <c r="E55" s="36">
        <f>FS!E31/FS!E4*91</f>
        <v>94.436706963732647</v>
      </c>
      <c r="F55" s="36">
        <f>FS!F31/FS!F4*91</f>
        <v>91.991453845769399</v>
      </c>
      <c r="G55" s="36">
        <f>FS!G31/FS!G4*91</f>
        <v>92.966183344462465</v>
      </c>
      <c r="H55" s="36">
        <f>FS!H31/FS!H4*91</f>
        <v>92.060186578393001</v>
      </c>
      <c r="I55" s="36">
        <f>FS!I31/FS!I4*91</f>
        <v>91.147754529687461</v>
      </c>
      <c r="J55" s="37">
        <f>FS!$B$92</f>
        <v>91</v>
      </c>
      <c r="K55" s="37">
        <f>FS!$B$92</f>
        <v>91</v>
      </c>
      <c r="L55" s="37">
        <f>FS!$B$92</f>
        <v>91</v>
      </c>
      <c r="M55" s="37">
        <f>FS!$B$92</f>
        <v>91</v>
      </c>
      <c r="N55" s="37">
        <f>FS!$B$92</f>
        <v>91</v>
      </c>
      <c r="O55" s="37">
        <f>FS!$B$92</f>
        <v>91</v>
      </c>
      <c r="P55" s="37">
        <f>FS!$B$92</f>
        <v>91</v>
      </c>
      <c r="Q55" s="37">
        <f>FS!$B$92</f>
        <v>91</v>
      </c>
      <c r="R55" s="2"/>
      <c r="S55" s="2"/>
      <c r="T55" s="38">
        <f>IF(ISBLANK(D55),"",D55)</f>
        <v>93.852070419042903</v>
      </c>
      <c r="U55" s="38">
        <f>IF(ISBLANK(H55),"",H55)</f>
        <v>92.060186578393001</v>
      </c>
      <c r="V55" s="38">
        <f>IF(ISBLANK(L55),"",L55)</f>
        <v>91</v>
      </c>
      <c r="W55" s="38">
        <f t="shared" ref="W55:X57" si="31">IF(ISBLANK(P55),"",P55)</f>
        <v>91</v>
      </c>
      <c r="X55" s="38">
        <f t="shared" si="31"/>
        <v>91</v>
      </c>
      <c r="Y55" s="2"/>
      <c r="Z55" s="2"/>
      <c r="AA55" s="21" t="s">
        <v>123</v>
      </c>
    </row>
    <row r="56" spans="1:27">
      <c r="A56" s="8" t="s">
        <v>124</v>
      </c>
      <c r="B56" s="36">
        <f>FS!B32/FS!B5*91</f>
        <v>445.15479067968676</v>
      </c>
      <c r="C56" s="36">
        <f>FS!C32/FS!C5*91</f>
        <v>432.24373450839988</v>
      </c>
      <c r="D56" s="36">
        <f>FS!D32/FS!D5*91</f>
        <v>402.84838622186066</v>
      </c>
      <c r="E56" s="36">
        <f>FS!E32/FS!E5*91</f>
        <v>394.47476015421859</v>
      </c>
      <c r="F56" s="36">
        <f>FS!F32/FS!F5*91</f>
        <v>412.01792014856085</v>
      </c>
      <c r="G56" s="36">
        <f>FS!G32/FS!G5*91</f>
        <v>405.05281135049927</v>
      </c>
      <c r="H56" s="36">
        <f>FS!H32/FS!H5*91</f>
        <v>361.13486842105266</v>
      </c>
      <c r="I56" s="36">
        <f>FS!I32/FS!I5*91</f>
        <v>324.18513119533526</v>
      </c>
      <c r="J56" s="37">
        <f>FS!$B$93</f>
        <v>324</v>
      </c>
      <c r="K56" s="37">
        <f>FS!$B$93</f>
        <v>324</v>
      </c>
      <c r="L56" s="37">
        <f>FS!$B$93</f>
        <v>324</v>
      </c>
      <c r="M56" s="37">
        <f>FS!$B$93</f>
        <v>324</v>
      </c>
      <c r="N56" s="37">
        <f>FS!$B$93</f>
        <v>324</v>
      </c>
      <c r="O56" s="37">
        <f>FS!$B$93</f>
        <v>324</v>
      </c>
      <c r="P56" s="37">
        <f>FS!$B$93</f>
        <v>324</v>
      </c>
      <c r="Q56" s="37">
        <f>FS!$B$93</f>
        <v>324</v>
      </c>
      <c r="R56" s="2"/>
      <c r="S56" s="2"/>
      <c r="T56" s="38">
        <f>IF(ISBLANK(D56),"",D56)</f>
        <v>402.84838622186066</v>
      </c>
      <c r="U56" s="38">
        <f>IF(ISBLANK(H56),"",H56)</f>
        <v>361.13486842105266</v>
      </c>
      <c r="V56" s="38">
        <f>IF(ISBLANK(L56),"",L56)</f>
        <v>324</v>
      </c>
      <c r="W56" s="38">
        <f t="shared" si="31"/>
        <v>324</v>
      </c>
      <c r="X56" s="38">
        <f t="shared" si="31"/>
        <v>324</v>
      </c>
      <c r="Y56" s="2"/>
      <c r="Z56" s="2"/>
      <c r="AA56" s="21" t="s">
        <v>125</v>
      </c>
    </row>
    <row r="57" spans="1:27">
      <c r="A57" s="8" t="s">
        <v>126</v>
      </c>
      <c r="B57" s="36">
        <f>FS!B40/FS!B5*91</f>
        <v>42.477811079957462</v>
      </c>
      <c r="C57" s="36">
        <f>FS!C40/FS!C5*91</f>
        <v>44.259432663178188</v>
      </c>
      <c r="D57" s="36">
        <f>FS!D40/FS!D5*91</f>
        <v>38.585118886176659</v>
      </c>
      <c r="E57" s="36">
        <f>FS!E40/FS!E5*91</f>
        <v>42.41988702591231</v>
      </c>
      <c r="F57" s="36">
        <f>FS!F40/FS!F5*91</f>
        <v>42.399071494893221</v>
      </c>
      <c r="G57" s="36">
        <f>FS!G40/FS!G5*91</f>
        <v>28.396654405324927</v>
      </c>
      <c r="H57" s="36">
        <f>FS!H40/FS!H5*91</f>
        <v>22.678728070175438</v>
      </c>
      <c r="I57" s="36">
        <f>FS!I40/FS!I5*91</f>
        <v>26.606413994169095</v>
      </c>
      <c r="J57" s="37">
        <f>FS!$B$94</f>
        <v>27</v>
      </c>
      <c r="K57" s="37">
        <f>FS!$B$94</f>
        <v>27</v>
      </c>
      <c r="L57" s="37">
        <f>FS!$B$94</f>
        <v>27</v>
      </c>
      <c r="M57" s="37">
        <f>FS!$B$94</f>
        <v>27</v>
      </c>
      <c r="N57" s="37">
        <f>FS!$B$94</f>
        <v>27</v>
      </c>
      <c r="O57" s="37">
        <f>FS!$B$94</f>
        <v>27</v>
      </c>
      <c r="P57" s="37">
        <f>FS!$B$94</f>
        <v>27</v>
      </c>
      <c r="Q57" s="37">
        <f>FS!$B$94</f>
        <v>27</v>
      </c>
      <c r="R57" s="2"/>
      <c r="S57" s="2"/>
      <c r="T57" s="38">
        <f>IF(ISBLANK(D57),"",D57)</f>
        <v>38.585118886176659</v>
      </c>
      <c r="U57" s="38">
        <f>IF(ISBLANK(H57),"",H57)</f>
        <v>22.678728070175438</v>
      </c>
      <c r="V57" s="38">
        <f>IF(ISBLANK(L57),"",L57)</f>
        <v>27</v>
      </c>
      <c r="W57" s="38">
        <f t="shared" si="31"/>
        <v>27</v>
      </c>
      <c r="X57" s="38">
        <f t="shared" si="31"/>
        <v>27</v>
      </c>
      <c r="Y57" s="2"/>
      <c r="Z57" s="2"/>
      <c r="AA57" s="21" t="s">
        <v>127</v>
      </c>
    </row>
    <row r="58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18" t="s">
        <v>128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11" t="s">
        <v>44</v>
      </c>
      <c r="B62" s="5" t="s">
        <v>3</v>
      </c>
      <c r="C62" s="5" t="s">
        <v>4</v>
      </c>
      <c r="D62" s="5" t="s">
        <v>5</v>
      </c>
      <c r="E62" s="5" t="s">
        <v>6</v>
      </c>
      <c r="F62" s="5" t="s">
        <v>7</v>
      </c>
      <c r="G62" s="5" t="s">
        <v>8</v>
      </c>
      <c r="H62" s="5" t="s">
        <v>9</v>
      </c>
      <c r="I62" s="5" t="s">
        <v>10</v>
      </c>
      <c r="J62" s="6" t="s">
        <v>11</v>
      </c>
      <c r="K62" s="6" t="s">
        <v>12</v>
      </c>
      <c r="L62" s="6" t="s">
        <v>13</v>
      </c>
      <c r="M62" s="6" t="s">
        <v>14</v>
      </c>
      <c r="N62" s="6" t="s">
        <v>15</v>
      </c>
      <c r="O62" s="6" t="s">
        <v>16</v>
      </c>
      <c r="P62" s="6" t="s">
        <v>17</v>
      </c>
      <c r="Q62" s="6" t="s">
        <v>18</v>
      </c>
      <c r="R62" s="2"/>
      <c r="S62" s="2"/>
      <c r="T62" s="5" t="s">
        <v>19</v>
      </c>
      <c r="U62" s="5" t="s">
        <v>20</v>
      </c>
      <c r="V62" s="7" t="s">
        <v>21</v>
      </c>
      <c r="W62" s="7" t="s">
        <v>22</v>
      </c>
      <c r="X62" s="7" t="s">
        <v>23</v>
      </c>
      <c r="Y62" s="7" t="s">
        <v>129</v>
      </c>
      <c r="Z62" s="2"/>
      <c r="AA62" s="19" t="s">
        <v>47</v>
      </c>
    </row>
    <row r="63" spans="1:27">
      <c r="A63" s="8" t="s">
        <v>130</v>
      </c>
      <c r="B63" s="33">
        <v>979.9</v>
      </c>
      <c r="C63" s="39">
        <f>FS!C18+FS!B36*FS!$B$100-(FS!C31-FS!B31)-(FS!C32-FS!B32)+(FS!C40-FS!B40)</f>
        <v>383.15263999999996</v>
      </c>
      <c r="D63" s="33">
        <v>1966.6</v>
      </c>
      <c r="E63" s="39">
        <f>FS!E18+FS!D36*FS!$B$100-(FS!E31-FS!D31)-(FS!E32-FS!D32)+(FS!E40-FS!D40)</f>
        <v>587.8820800000002</v>
      </c>
      <c r="F63" s="33">
        <v>1186.5999999999999</v>
      </c>
      <c r="G63" s="39">
        <f>FS!G18+FS!F36*FS!$B$100-(FS!G31-FS!F31)-(FS!G32-FS!F32)+(FS!G40-FS!F40)</f>
        <v>108.88975999999991</v>
      </c>
      <c r="H63" s="33">
        <v>1889.2</v>
      </c>
      <c r="I63" s="39">
        <f>FS!I18+FS!H36*FS!$B$100-(FS!I31-FS!H31)-(FS!I32-FS!H32)+(FS!I40-FS!H40)</f>
        <v>518.55463999999927</v>
      </c>
      <c r="J63" s="15">
        <f t="shared" ref="J63:Q63" si="32">J69+J70+J71</f>
        <v>1179.0342961384208</v>
      </c>
      <c r="K63" s="15">
        <f t="shared" si="32"/>
        <v>298.43605855858772</v>
      </c>
      <c r="L63" s="15">
        <f t="shared" si="32"/>
        <v>507.092147029042</v>
      </c>
      <c r="M63" s="15">
        <f t="shared" si="32"/>
        <v>390.229678148316</v>
      </c>
      <c r="N63" s="15">
        <f t="shared" si="32"/>
        <v>1027.2212902470696</v>
      </c>
      <c r="O63" s="15">
        <f t="shared" si="32"/>
        <v>843.53338397616517</v>
      </c>
      <c r="P63" s="15">
        <f t="shared" si="32"/>
        <v>349.67026009691881</v>
      </c>
      <c r="Q63" s="15">
        <f t="shared" si="32"/>
        <v>337.60636120330093</v>
      </c>
      <c r="R63" s="2"/>
      <c r="S63" s="2"/>
      <c r="T63" s="40">
        <v>1966.6</v>
      </c>
      <c r="U63" s="40">
        <v>1889.2</v>
      </c>
      <c r="V63" s="15">
        <f>IF(AND(ISBLANK(J63),ISBLANK(L63)),"",SUM(I63:L63))</f>
        <v>2503.1171417260498</v>
      </c>
      <c r="W63" s="15">
        <f>IF(AND(ISBLANK(N63),ISBLANK(P63)),"",SUM(M63:P63))</f>
        <v>2610.6546124684696</v>
      </c>
      <c r="X63" s="15">
        <f>IF(COUNTBLANK(Q63:Q63)&gt;0,"",SUM(Q63:Q63))</f>
        <v>337.60636120330093</v>
      </c>
      <c r="Y63" s="14">
        <f>J63+K63+L63+M63+N63+O63+P63+Q63</f>
        <v>4932.8234753978213</v>
      </c>
      <c r="Z63" s="2"/>
      <c r="AA63" s="21" t="s">
        <v>131</v>
      </c>
    </row>
    <row r="64" spans="1:27">
      <c r="A64" s="8" t="s">
        <v>132</v>
      </c>
      <c r="B64" s="33">
        <v>-580.4</v>
      </c>
      <c r="C64" s="41">
        <f>-$B$80</f>
        <v>-242</v>
      </c>
      <c r="D64" s="33">
        <v>352.3</v>
      </c>
      <c r="E64" s="41">
        <f>-$B$80</f>
        <v>-242</v>
      </c>
      <c r="F64" s="33">
        <v>-666.3</v>
      </c>
      <c r="G64" s="41">
        <f>-$B$80</f>
        <v>-242</v>
      </c>
      <c r="H64" s="33">
        <v>-1075.0999999999999</v>
      </c>
      <c r="I64" s="41">
        <f>-$B$80</f>
        <v>-242</v>
      </c>
      <c r="J64" s="15">
        <f t="shared" ref="J64:Q64" si="33">-J73</f>
        <v>-242</v>
      </c>
      <c r="K64" s="15">
        <f t="shared" si="33"/>
        <v>-242</v>
      </c>
      <c r="L64" s="15">
        <f t="shared" si="33"/>
        <v>-242</v>
      </c>
      <c r="M64" s="15">
        <f t="shared" si="33"/>
        <v>-242</v>
      </c>
      <c r="N64" s="15">
        <f t="shared" si="33"/>
        <v>-242</v>
      </c>
      <c r="O64" s="15">
        <f t="shared" si="33"/>
        <v>-242</v>
      </c>
      <c r="P64" s="15">
        <f t="shared" si="33"/>
        <v>-242</v>
      </c>
      <c r="Q64" s="15">
        <f t="shared" si="33"/>
        <v>-242</v>
      </c>
      <c r="R64" s="2"/>
      <c r="S64" s="2"/>
      <c r="T64" s="40">
        <v>352.3</v>
      </c>
      <c r="U64" s="40">
        <v>-1075.0999999999999</v>
      </c>
      <c r="V64" s="15">
        <f>IF(AND(ISBLANK(J64),ISBLANK(L64)),"",SUM(I64:L64))</f>
        <v>-968</v>
      </c>
      <c r="W64" s="15">
        <f>IF(AND(ISBLANK(N64),ISBLANK(P64)),"",SUM(M64:P64))</f>
        <v>-968</v>
      </c>
      <c r="X64" s="15">
        <f>IF(COUNTBLANK(Q64:Q64)&gt;0,"",SUM(Q64:Q64))</f>
        <v>-242</v>
      </c>
      <c r="Y64" s="14">
        <f>J64+K64+L64+M64+N64+O64+P64+Q64</f>
        <v>-1936</v>
      </c>
      <c r="Z64" s="2"/>
      <c r="AA64" s="21" t="s">
        <v>133</v>
      </c>
    </row>
    <row r="65" spans="1:27">
      <c r="A65" s="8" t="s">
        <v>134</v>
      </c>
      <c r="B65" s="33">
        <v>-459.1</v>
      </c>
      <c r="C65" s="39">
        <f>-FS!C23*FS!C21/100-$B$81</f>
        <v>-125</v>
      </c>
      <c r="D65" s="33">
        <v>-1002</v>
      </c>
      <c r="E65" s="39">
        <f>-FS!E23*FS!E21/100-$B$81</f>
        <v>-125</v>
      </c>
      <c r="F65" s="33">
        <v>-541.1</v>
      </c>
      <c r="G65" s="39">
        <f>-FS!G23*FS!G21/100-$B$81</f>
        <v>-125</v>
      </c>
      <c r="H65" s="33">
        <v>-941.2</v>
      </c>
      <c r="I65" s="39">
        <f>-FS!I23*FS!I21/100-$B$81</f>
        <v>-376.08199999999999</v>
      </c>
      <c r="J65" s="15">
        <f t="shared" ref="J65:Q65" si="34">-J75-J76+J77</f>
        <v>-326.63262859594101</v>
      </c>
      <c r="K65" s="15">
        <f t="shared" si="34"/>
        <v>-298.64741031667677</v>
      </c>
      <c r="L65" s="15">
        <f t="shared" si="34"/>
        <v>-332.80732887417344</v>
      </c>
      <c r="M65" s="15">
        <f t="shared" si="34"/>
        <v>-374.4981547112323</v>
      </c>
      <c r="N65" s="15">
        <f t="shared" si="34"/>
        <v>-368.33555028986484</v>
      </c>
      <c r="O65" s="15">
        <f t="shared" si="34"/>
        <v>-367.94621340940114</v>
      </c>
      <c r="P65" s="15">
        <f t="shared" si="34"/>
        <v>-384.46655592124046</v>
      </c>
      <c r="Q65" s="15">
        <f t="shared" si="34"/>
        <v>-367.17080359970362</v>
      </c>
      <c r="R65" s="2"/>
      <c r="S65" s="2"/>
      <c r="T65" s="40">
        <v>-1002</v>
      </c>
      <c r="U65" s="40">
        <v>-941.2</v>
      </c>
      <c r="V65" s="15">
        <f>IF(AND(ISBLANK(J65),ISBLANK(L65)),"",SUM(I65:L65))</f>
        <v>-1334.1693677867911</v>
      </c>
      <c r="W65" s="15">
        <f>IF(AND(ISBLANK(N65),ISBLANK(P65)),"",SUM(M65:P65))</f>
        <v>-1495.2464743317387</v>
      </c>
      <c r="X65" s="15">
        <f>IF(COUNTBLANK(Q65:Q65)&gt;0,"",SUM(Q65:Q65))</f>
        <v>-367.17080359970362</v>
      </c>
      <c r="Y65" s="14">
        <f>J65+K65+L65+M65+N65+O65+P65+Q65</f>
        <v>-2820.5046457182334</v>
      </c>
      <c r="Z65" s="2"/>
      <c r="AA65" s="21" t="s">
        <v>135</v>
      </c>
    </row>
    <row r="66" spans="1:27">
      <c r="A66" s="8" t="s">
        <v>136</v>
      </c>
      <c r="B66" s="22">
        <f t="shared" ref="B66:Q66" si="35">B63+B64+B65</f>
        <v>-59.600000000000023</v>
      </c>
      <c r="C66" s="22">
        <f t="shared" si="35"/>
        <v>16.152639999999963</v>
      </c>
      <c r="D66" s="22">
        <f t="shared" si="35"/>
        <v>1316.9</v>
      </c>
      <c r="E66" s="22">
        <f t="shared" si="35"/>
        <v>220.8820800000002</v>
      </c>
      <c r="F66" s="22">
        <f t="shared" si="35"/>
        <v>-20.800000000000068</v>
      </c>
      <c r="G66" s="22">
        <f t="shared" si="35"/>
        <v>-258.11024000000009</v>
      </c>
      <c r="H66" s="22">
        <f t="shared" si="35"/>
        <v>-127.09999999999991</v>
      </c>
      <c r="I66" s="22">
        <f t="shared" si="35"/>
        <v>-99.527360000000726</v>
      </c>
      <c r="J66" s="22">
        <f t="shared" si="35"/>
        <v>610.4016675424798</v>
      </c>
      <c r="K66" s="22">
        <f t="shared" si="35"/>
        <v>-242.21135175808905</v>
      </c>
      <c r="L66" s="22">
        <f t="shared" si="35"/>
        <v>-67.71518184513144</v>
      </c>
      <c r="M66" s="22">
        <f t="shared" si="35"/>
        <v>-226.26847656291631</v>
      </c>
      <c r="N66" s="22">
        <f t="shared" si="35"/>
        <v>416.88573995720481</v>
      </c>
      <c r="O66" s="22">
        <f t="shared" si="35"/>
        <v>233.58717056676403</v>
      </c>
      <c r="P66" s="22">
        <f t="shared" si="35"/>
        <v>-276.79629582432165</v>
      </c>
      <c r="Q66" s="22">
        <f t="shared" si="35"/>
        <v>-271.56444239640268</v>
      </c>
      <c r="R66" s="2"/>
      <c r="S66" s="2"/>
      <c r="T66" s="15">
        <f>IF(COUNTBLANK(B66:D66)&gt;0,"",SUM(B66:D66))</f>
        <v>1273.45264</v>
      </c>
      <c r="U66" s="15">
        <f>IF(AND(ISBLANK(F66),ISBLANK(H66)),"",SUM(E66:H66))</f>
        <v>-185.12815999999987</v>
      </c>
      <c r="V66" s="15">
        <f>IF(AND(ISBLANK(J66),ISBLANK(L66)),"",SUM(I66:L66))</f>
        <v>200.94777393925858</v>
      </c>
      <c r="W66" s="15">
        <f>IF(AND(ISBLANK(N66),ISBLANK(P66)),"",SUM(M66:P66))</f>
        <v>147.40813813673088</v>
      </c>
      <c r="X66" s="15">
        <f>IF(COUNTBLANK(Q66:Q66)&gt;0,"",SUM(Q66:Q66))</f>
        <v>-271.56444239640268</v>
      </c>
      <c r="Y66" s="14">
        <f>J66+K66+L66+M66+N66+O66+P66+Q66</f>
        <v>176.31882967958757</v>
      </c>
      <c r="Z66" s="2"/>
      <c r="AA66" s="21" t="s">
        <v>137</v>
      </c>
    </row>
    <row r="67" spans="1:27">
      <c r="A67" s="8" t="s">
        <v>138</v>
      </c>
      <c r="B67" s="14">
        <f t="shared" ref="B67:Q67" si="36">B63+B64</f>
        <v>399.5</v>
      </c>
      <c r="C67" s="14">
        <f t="shared" si="36"/>
        <v>141.15263999999996</v>
      </c>
      <c r="D67" s="14">
        <f t="shared" si="36"/>
        <v>2318.9</v>
      </c>
      <c r="E67" s="14">
        <f t="shared" si="36"/>
        <v>345.8820800000002</v>
      </c>
      <c r="F67" s="14">
        <f t="shared" si="36"/>
        <v>520.29999999999995</v>
      </c>
      <c r="G67" s="14">
        <f t="shared" si="36"/>
        <v>-133.11024000000009</v>
      </c>
      <c r="H67" s="14">
        <f t="shared" si="36"/>
        <v>814.10000000000014</v>
      </c>
      <c r="I67" s="14">
        <f t="shared" si="36"/>
        <v>276.55463999999927</v>
      </c>
      <c r="J67" s="14">
        <f t="shared" si="36"/>
        <v>937.03429613842081</v>
      </c>
      <c r="K67" s="14">
        <f t="shared" si="36"/>
        <v>56.436058558587717</v>
      </c>
      <c r="L67" s="14">
        <f t="shared" si="36"/>
        <v>265.092147029042</v>
      </c>
      <c r="M67" s="14">
        <f t="shared" si="36"/>
        <v>148.229678148316</v>
      </c>
      <c r="N67" s="14">
        <f t="shared" si="36"/>
        <v>785.22129024706965</v>
      </c>
      <c r="O67" s="14">
        <f t="shared" si="36"/>
        <v>601.53338397616517</v>
      </c>
      <c r="P67" s="14">
        <f t="shared" si="36"/>
        <v>107.67026009691881</v>
      </c>
      <c r="Q67" s="14">
        <f t="shared" si="36"/>
        <v>95.606361203300935</v>
      </c>
      <c r="R67" s="2"/>
      <c r="S67" s="2"/>
      <c r="T67" s="14">
        <f t="shared" ref="T67:Y67" si="37">T63+T64</f>
        <v>2318.9</v>
      </c>
      <c r="U67" s="14">
        <f t="shared" si="37"/>
        <v>814.10000000000014</v>
      </c>
      <c r="V67" s="14">
        <f t="shared" si="37"/>
        <v>1535.1171417260498</v>
      </c>
      <c r="W67" s="14">
        <f t="shared" si="37"/>
        <v>1642.6546124684696</v>
      </c>
      <c r="X67" s="14">
        <f t="shared" si="37"/>
        <v>95.606361203300935</v>
      </c>
      <c r="Y67" s="14">
        <f t="shared" si="37"/>
        <v>2996.8234753978213</v>
      </c>
      <c r="Z67" s="2"/>
      <c r="AA67" s="21" t="s">
        <v>139</v>
      </c>
    </row>
    <row r="68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8" t="s">
        <v>140</v>
      </c>
      <c r="B69" s="42">
        <f>FS!B18</f>
        <v>294.8</v>
      </c>
      <c r="C69" s="42">
        <f>FS!C18</f>
        <v>421.9</v>
      </c>
      <c r="D69" s="42">
        <f>FS!D18</f>
        <v>359.6</v>
      </c>
      <c r="E69" s="42">
        <f>FS!E18</f>
        <v>346.4</v>
      </c>
      <c r="F69" s="42">
        <f>FS!F18</f>
        <v>445.4</v>
      </c>
      <c r="G69" s="42">
        <f>FS!G18</f>
        <v>424.4</v>
      </c>
      <c r="H69" s="42">
        <f>FS!H18</f>
        <v>456.8</v>
      </c>
      <c r="I69" s="42">
        <f>FS!I18</f>
        <v>678.6</v>
      </c>
      <c r="J69" s="26">
        <f>FS!J18</f>
        <v>544.95305025929997</v>
      </c>
      <c r="K69" s="26">
        <f>FS!K18</f>
        <v>469.31732518020749</v>
      </c>
      <c r="L69" s="26">
        <f>FS!L18</f>
        <v>561.64142938965801</v>
      </c>
      <c r="M69" s="26">
        <f>FS!M18</f>
        <v>674.31933705738459</v>
      </c>
      <c r="N69" s="26">
        <f>FS!N18</f>
        <v>657.66364943206725</v>
      </c>
      <c r="O69" s="26">
        <f>FS!O18</f>
        <v>656.61138759297592</v>
      </c>
      <c r="P69" s="26">
        <f>FS!P18</f>
        <v>701.26096194929835</v>
      </c>
      <c r="Q69" s="26">
        <f>FS!Q18</f>
        <v>654.51568540460448</v>
      </c>
      <c r="R69" s="2"/>
      <c r="S69" s="2"/>
      <c r="T69" s="13">
        <f>IF(COUNTBLANK(B69:D69)&gt;0,"",SUM(B69:D69))</f>
        <v>1076.3000000000002</v>
      </c>
      <c r="U69" s="13">
        <f>IF(AND(ISBLANK(F69),ISBLANK(H69)),"",SUM(E69:H69))</f>
        <v>1672.9999999999998</v>
      </c>
      <c r="V69" s="13">
        <f>IF(AND(ISBLANK(J69),ISBLANK(L69)),"",SUM(I69:L69))</f>
        <v>2254.5118048291656</v>
      </c>
      <c r="W69" s="13">
        <f>IF(AND(ISBLANK(N69),ISBLANK(P69)),"",SUM(M69:P69))</f>
        <v>2689.855336031726</v>
      </c>
      <c r="X69" s="13">
        <f>IF(COUNTBLANK(Q69:Q69)&gt;0,"",SUM(Q69:Q69))</f>
        <v>654.51568540460448</v>
      </c>
      <c r="Y69" s="2"/>
      <c r="Z69" s="2"/>
      <c r="AA69" s="21" t="s">
        <v>141</v>
      </c>
    </row>
    <row r="70" spans="1:27">
      <c r="A70" s="8" t="s">
        <v>142</v>
      </c>
      <c r="B70" s="12">
        <v>155.1</v>
      </c>
      <c r="C70" s="2"/>
      <c r="D70" s="12">
        <v>188</v>
      </c>
      <c r="E70" s="2"/>
      <c r="F70" s="12">
        <v>201.9</v>
      </c>
      <c r="G70" s="2"/>
      <c r="H70" s="12">
        <v>246.5</v>
      </c>
      <c r="I70" s="2"/>
      <c r="J70" s="26">
        <f>FS!I36*FS!$B$100</f>
        <v>164.81784000000002</v>
      </c>
      <c r="K70" s="26">
        <f>FS!J36*FS!$B$100</f>
        <v>166.85544902400002</v>
      </c>
      <c r="L70" s="26">
        <f>FS!K36*FS!$B$100</f>
        <v>168.83926516976641</v>
      </c>
      <c r="M70" s="26">
        <f>FS!L36*FS!$B$100</f>
        <v>170.77070856928455</v>
      </c>
      <c r="N70" s="26">
        <f>FS!M36*FS!$B$100</f>
        <v>172.65116186305545</v>
      </c>
      <c r="O70" s="26">
        <f>FS!N36*FS!$B$100</f>
        <v>174.48197118987079</v>
      </c>
      <c r="P70" s="26">
        <f>FS!O36*FS!$B$100</f>
        <v>176.26444715045818</v>
      </c>
      <c r="Q70" s="26">
        <f>FS!P36*FS!$B$100</f>
        <v>177.99986574568609</v>
      </c>
      <c r="R70" s="2"/>
      <c r="S70" s="2"/>
      <c r="T70" s="13" t="str">
        <f>IF(COUNTBLANK(B70:D70)&gt;0,"",SUM(B70:D70))</f>
        <v/>
      </c>
      <c r="U70" s="13">
        <f>IF(AND(ISBLANK(F70),ISBLANK(H70)),"",SUM(E70:H70))</f>
        <v>448.4</v>
      </c>
      <c r="V70" s="13">
        <f>IF(AND(ISBLANK(J70),ISBLANK(L70)),"",SUM(I70:L70))</f>
        <v>500.51255419376645</v>
      </c>
      <c r="W70" s="13">
        <f>IF(AND(ISBLANK(N70),ISBLANK(P70)),"",SUM(M70:P70))</f>
        <v>694.16828877266903</v>
      </c>
      <c r="X70" s="13">
        <f>IF(COUNTBLANK(Q70:Q70)&gt;0,"",SUM(Q70:Q70))</f>
        <v>177.99986574568609</v>
      </c>
      <c r="Y70" s="2"/>
      <c r="Z70" s="2"/>
      <c r="AA70" s="21" t="s">
        <v>143</v>
      </c>
    </row>
    <row r="71" spans="1:27">
      <c r="A71" s="8" t="s">
        <v>144</v>
      </c>
      <c r="B71" s="2"/>
      <c r="C71" s="42">
        <f>-(FS!C31-FS!B31)-(FS!C32-FS!B32)+(FS!C40-FS!B40)</f>
        <v>-152.59999999999997</v>
      </c>
      <c r="D71" s="42">
        <f>-(FS!D31-FS!C31)-(FS!D32-FS!C32)+(FS!D40-FS!C40)</f>
        <v>200.10000000000014</v>
      </c>
      <c r="E71" s="42">
        <f>-(FS!E31-FS!D31)-(FS!E32-FS!D32)+(FS!E40-FS!D40)</f>
        <v>115.10000000000025</v>
      </c>
      <c r="F71" s="42">
        <f>-(FS!F31-FS!E31)-(FS!F32-FS!E32)+(FS!F40-FS!E40)</f>
        <v>-5.0000000000002842</v>
      </c>
      <c r="G71" s="42">
        <f>-(FS!G31-FS!F31)-(FS!G32-FS!F32)+(FS!G40-FS!F40)</f>
        <v>-470.70000000000005</v>
      </c>
      <c r="H71" s="42">
        <f>-(FS!H31-FS!G31)-(FS!H32-FS!G32)+(FS!H40-FS!G40)</f>
        <v>-234.09999999999957</v>
      </c>
      <c r="I71" s="42">
        <f>-(FS!I31-FS!H31)-(FS!I32-FS!H32)+(FS!I40-FS!H40)</f>
        <v>-323.20000000000073</v>
      </c>
      <c r="J71" s="26">
        <f>-(FS!J31-FS!I31)-(FS!J32-FS!I32)+(FS!J40-FS!I40)</f>
        <v>469.26340587912085</v>
      </c>
      <c r="K71" s="26">
        <f>-(FS!K31-FS!J31)-(FS!K32-FS!J32)+(FS!K40-FS!J40)</f>
        <v>-337.73671564561977</v>
      </c>
      <c r="L71" s="26">
        <f>-(FS!L31-FS!K31)-(FS!L32-FS!K32)+(FS!L40-FS!K40)</f>
        <v>-223.38854753038237</v>
      </c>
      <c r="M71" s="26">
        <f>-(FS!M31-FS!L31)-(FS!M32-FS!L32)+(FS!M40-FS!L40)</f>
        <v>-454.86036747835317</v>
      </c>
      <c r="N71" s="26">
        <f>-(FS!N31-FS!M31)-(FS!N32-FS!M32)+(FS!N40-FS!M40)</f>
        <v>196.90647895194701</v>
      </c>
      <c r="O71" s="26">
        <f>-(FS!O31-FS!N31)-(FS!O32-FS!N32)+(FS!O40-FS!N40)</f>
        <v>12.440025193318377</v>
      </c>
      <c r="P71" s="26">
        <f>-(FS!P31-FS!O31)-(FS!P32-FS!O32)+(FS!P40-FS!O40)</f>
        <v>-527.85514900283772</v>
      </c>
      <c r="Q71" s="26">
        <f>-(FS!Q31-FS!P31)-(FS!Q32-FS!P32)+(FS!Q40-FS!P40)</f>
        <v>-494.90918994698961</v>
      </c>
      <c r="R71" s="2"/>
      <c r="S71" s="2"/>
      <c r="T71" s="13" t="str">
        <f>IF(COUNTBLANK(B71:D71)&gt;0,"",SUM(B71:D71))</f>
        <v/>
      </c>
      <c r="U71" s="13">
        <f>IF(AND(ISBLANK(F71),ISBLANK(H71)),"",SUM(E71:H71))</f>
        <v>-594.69999999999959</v>
      </c>
      <c r="V71" s="13">
        <f>IF(AND(ISBLANK(J71),ISBLANK(L71)),"",SUM(I71:L71))</f>
        <v>-415.06185729688201</v>
      </c>
      <c r="W71" s="13">
        <f>IF(AND(ISBLANK(N71),ISBLANK(P71)),"",SUM(M71:P71))</f>
        <v>-773.3690123359255</v>
      </c>
      <c r="X71" s="13">
        <f>IF(COUNTBLANK(Q71:Q71)&gt;0,"",SUM(Q71:Q71))</f>
        <v>-494.90918994698961</v>
      </c>
      <c r="Y71" s="2"/>
      <c r="Z71" s="2"/>
      <c r="AA71" s="21" t="s">
        <v>145</v>
      </c>
    </row>
    <row r="72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8" t="s">
        <v>146</v>
      </c>
      <c r="B73" s="12">
        <v>429.5</v>
      </c>
      <c r="C73" s="2"/>
      <c r="D73" s="12">
        <v>637.9</v>
      </c>
      <c r="E73" s="2"/>
      <c r="F73" s="12">
        <v>791.1</v>
      </c>
      <c r="G73" s="2"/>
      <c r="H73" s="12">
        <v>735.9</v>
      </c>
      <c r="I73" s="2"/>
      <c r="J73" s="13">
        <f t="shared" ref="J73:Q73" si="38">$B$80</f>
        <v>242</v>
      </c>
      <c r="K73" s="13">
        <f t="shared" si="38"/>
        <v>242</v>
      </c>
      <c r="L73" s="13">
        <f t="shared" si="38"/>
        <v>242</v>
      </c>
      <c r="M73" s="13">
        <f t="shared" si="38"/>
        <v>242</v>
      </c>
      <c r="N73" s="13">
        <f t="shared" si="38"/>
        <v>242</v>
      </c>
      <c r="O73" s="13">
        <f t="shared" si="38"/>
        <v>242</v>
      </c>
      <c r="P73" s="13">
        <f t="shared" si="38"/>
        <v>242</v>
      </c>
      <c r="Q73" s="13">
        <f t="shared" si="38"/>
        <v>242</v>
      </c>
      <c r="R73" s="2"/>
      <c r="S73" s="2"/>
      <c r="T73" s="13" t="str">
        <f>IF(COUNTBLANK(B73:D73)&gt;0,"",SUM(B73:D73))</f>
        <v/>
      </c>
      <c r="U73" s="13">
        <f>IF(AND(ISBLANK(F73),ISBLANK(H73)),"",SUM(E73:H73))</f>
        <v>1527</v>
      </c>
      <c r="V73" s="13">
        <f>IF(AND(ISBLANK(J73),ISBLANK(L73)),"",SUM(I73:L73))</f>
        <v>726</v>
      </c>
      <c r="W73" s="13">
        <f>IF(AND(ISBLANK(N73),ISBLANK(P73)),"",SUM(M73:P73))</f>
        <v>968</v>
      </c>
      <c r="X73" s="13">
        <f>IF(COUNTBLANK(Q73:Q73)&gt;0,"",SUM(Q73:Q73))</f>
        <v>242</v>
      </c>
      <c r="Y73" s="14">
        <f>J73+K73+L73+M73+N73+O73+P73+Q73</f>
        <v>1936</v>
      </c>
      <c r="Z73" s="2"/>
      <c r="AA73" s="21" t="s">
        <v>147</v>
      </c>
    </row>
    <row r="74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8" t="s">
        <v>148</v>
      </c>
      <c r="B75" s="12">
        <v>320.7</v>
      </c>
      <c r="C75" s="2"/>
      <c r="D75" s="12">
        <v>319.8</v>
      </c>
      <c r="E75" s="2"/>
      <c r="F75" s="12">
        <v>318.8</v>
      </c>
      <c r="G75" s="2"/>
      <c r="H75" s="12">
        <v>316.60000000000002</v>
      </c>
      <c r="I75" s="2"/>
      <c r="J75" s="26">
        <f>FS!J23*FS!J21/100</f>
        <v>201.63262859594101</v>
      </c>
      <c r="K75" s="26">
        <f>FS!K23*FS!K21/100</f>
        <v>173.64741031667677</v>
      </c>
      <c r="L75" s="26">
        <f>FS!L23*FS!L21/100</f>
        <v>207.80732887417346</v>
      </c>
      <c r="M75" s="26">
        <f>FS!M23*FS!M21/100</f>
        <v>249.4981547112323</v>
      </c>
      <c r="N75" s="26">
        <f>FS!N23*FS!N21/100</f>
        <v>243.33555028986484</v>
      </c>
      <c r="O75" s="26">
        <f>FS!O23*FS!O21/100</f>
        <v>242.94621340940111</v>
      </c>
      <c r="P75" s="26">
        <f>FS!P23*FS!P21/100</f>
        <v>259.46655592124046</v>
      </c>
      <c r="Q75" s="26">
        <f>FS!Q23*FS!Q21/100</f>
        <v>242.17080359970362</v>
      </c>
      <c r="R75" s="2"/>
      <c r="S75" s="2"/>
      <c r="T75" s="13" t="str">
        <f>IF(COUNTBLANK(B75:D75)&gt;0,"",SUM(B75:D75))</f>
        <v/>
      </c>
      <c r="U75" s="13">
        <f>IF(AND(ISBLANK(F75),ISBLANK(H75)),"",SUM(E75:H75))</f>
        <v>635.40000000000009</v>
      </c>
      <c r="V75" s="13">
        <f>IF(AND(ISBLANK(J75),ISBLANK(L75)),"",SUM(I75:L75))</f>
        <v>583.08736778679122</v>
      </c>
      <c r="W75" s="13">
        <f>IF(AND(ISBLANK(N75),ISBLANK(P75)),"",SUM(M75:P75))</f>
        <v>995.24647433173868</v>
      </c>
      <c r="X75" s="13">
        <f>IF(COUNTBLANK(Q75:Q75)&gt;0,"",SUM(Q75:Q75))</f>
        <v>242.17080359970362</v>
      </c>
      <c r="Y75" s="14">
        <f>J75+K75+L75+M75+N75+O75+P75+Q75</f>
        <v>1820.5046457182334</v>
      </c>
      <c r="Z75" s="2"/>
      <c r="AA75" s="21" t="s">
        <v>149</v>
      </c>
    </row>
    <row r="76" spans="1:27">
      <c r="A76" s="8" t="s">
        <v>150</v>
      </c>
      <c r="B76" s="12">
        <v>96.5</v>
      </c>
      <c r="C76" s="2"/>
      <c r="D76" s="12">
        <v>153.69999999999999</v>
      </c>
      <c r="E76" s="2"/>
      <c r="F76" s="12">
        <v>218</v>
      </c>
      <c r="G76" s="2"/>
      <c r="H76" s="12">
        <v>82.2</v>
      </c>
      <c r="I76" s="2"/>
      <c r="J76" s="13">
        <f t="shared" ref="J76:Q76" si="39">$B$81</f>
        <v>125</v>
      </c>
      <c r="K76" s="13">
        <f t="shared" si="39"/>
        <v>125</v>
      </c>
      <c r="L76" s="13">
        <f t="shared" si="39"/>
        <v>125</v>
      </c>
      <c r="M76" s="13">
        <f t="shared" si="39"/>
        <v>125</v>
      </c>
      <c r="N76" s="13">
        <f t="shared" si="39"/>
        <v>125</v>
      </c>
      <c r="O76" s="13">
        <f t="shared" si="39"/>
        <v>125</v>
      </c>
      <c r="P76" s="13">
        <f t="shared" si="39"/>
        <v>125</v>
      </c>
      <c r="Q76" s="13">
        <f t="shared" si="39"/>
        <v>125</v>
      </c>
      <c r="R76" s="2"/>
      <c r="S76" s="2"/>
      <c r="T76" s="13" t="str">
        <f>IF(COUNTBLANK(B76:D76)&gt;0,"",SUM(B76:D76))</f>
        <v/>
      </c>
      <c r="U76" s="13">
        <f>IF(AND(ISBLANK(F76),ISBLANK(H76)),"",SUM(E76:H76))</f>
        <v>300.2</v>
      </c>
      <c r="V76" s="13">
        <f>IF(AND(ISBLANK(J76),ISBLANK(L76)),"",SUM(I76:L76))</f>
        <v>375</v>
      </c>
      <c r="W76" s="13">
        <f>IF(AND(ISBLANK(N76),ISBLANK(P76)),"",SUM(M76:P76))</f>
        <v>500</v>
      </c>
      <c r="X76" s="13">
        <f>IF(COUNTBLANK(Q76:Q76)&gt;0,"",SUM(Q76:Q76))</f>
        <v>125</v>
      </c>
      <c r="Y76" s="2"/>
      <c r="Z76" s="2"/>
      <c r="AA76" s="21" t="s">
        <v>151</v>
      </c>
    </row>
    <row r="77" spans="1:27">
      <c r="A77" s="8" t="s">
        <v>152</v>
      </c>
      <c r="B77" s="2"/>
      <c r="C77" s="42">
        <f>FS!C41-FS!B41</f>
        <v>-69</v>
      </c>
      <c r="D77" s="42">
        <f>FS!D41-FS!C41</f>
        <v>0</v>
      </c>
      <c r="E77" s="42">
        <f>FS!E41-FS!D41</f>
        <v>-0.39999999999999858</v>
      </c>
      <c r="F77" s="42">
        <f>FS!F41-FS!E41</f>
        <v>0</v>
      </c>
      <c r="G77" s="42">
        <f>FS!G41-FS!F41</f>
        <v>300.89999999999998</v>
      </c>
      <c r="H77" s="42">
        <f>FS!H41-FS!G41</f>
        <v>-300</v>
      </c>
      <c r="I77" s="42">
        <f>FS!I41-FS!H41</f>
        <v>-0.89999999999999858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2"/>
      <c r="S77" s="2"/>
      <c r="T77" s="13" t="str">
        <f>IF(COUNTBLANK(B77:D77)&gt;0,"",SUM(B77:D77))</f>
        <v/>
      </c>
      <c r="U77" s="13">
        <f>IF(AND(ISBLANK(F77),ISBLANK(H77)),"",SUM(E77:H77))</f>
        <v>0.5</v>
      </c>
      <c r="V77" s="13">
        <f>IF(AND(ISBLANK(J77),ISBLANK(L77)),"",SUM(I77:L77))</f>
        <v>-0.89999999999999858</v>
      </c>
      <c r="W77" s="13">
        <f>IF(AND(ISBLANK(N77),ISBLANK(P77)),"",SUM(M77:P77))</f>
        <v>0</v>
      </c>
      <c r="X77" s="13">
        <f>IF(COUNTBLANK(Q77:Q77)&gt;0,"",SUM(Q77:Q77))</f>
        <v>0</v>
      </c>
      <c r="Y77" s="2"/>
      <c r="Z77" s="2"/>
      <c r="AA77" s="21" t="s">
        <v>153</v>
      </c>
    </row>
    <row r="78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8" t="s">
        <v>154</v>
      </c>
      <c r="B80" s="42">
        <f>FS!$B$95</f>
        <v>242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8" t="s">
        <v>155</v>
      </c>
      <c r="B81" s="42">
        <f>FS!$B$96</f>
        <v>125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35" t="s">
        <v>156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 t="s">
        <v>157</v>
      </c>
      <c r="B85" s="10">
        <v>28.9</v>
      </c>
      <c r="C85" s="43" t="s">
        <v>158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 t="s">
        <v>159</v>
      </c>
      <c r="B86" s="10">
        <v>21</v>
      </c>
      <c r="C86" s="43" t="s">
        <v>160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 t="s">
        <v>161</v>
      </c>
      <c r="B87" s="10">
        <v>19.5</v>
      </c>
      <c r="C87" s="43" t="s">
        <v>162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 t="s">
        <v>84</v>
      </c>
      <c r="B88" s="10">
        <v>37</v>
      </c>
      <c r="C88" s="43" t="s">
        <v>163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 t="s">
        <v>164</v>
      </c>
      <c r="B89" s="12">
        <v>62.9</v>
      </c>
      <c r="C89" s="43" t="s">
        <v>165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 t="s">
        <v>166</v>
      </c>
      <c r="B90" s="44">
        <v>0.20200000000000001</v>
      </c>
      <c r="C90" s="43" t="s">
        <v>167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 t="s">
        <v>168</v>
      </c>
      <c r="B91" s="44">
        <v>0.88800000000000001</v>
      </c>
      <c r="C91" s="43" t="s">
        <v>169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 t="s">
        <v>170</v>
      </c>
      <c r="B92" s="45">
        <v>91</v>
      </c>
      <c r="C92" s="43" t="s">
        <v>171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 t="s">
        <v>172</v>
      </c>
      <c r="B93" s="45">
        <v>324</v>
      </c>
      <c r="C93" s="43" t="s">
        <v>173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 t="s">
        <v>174</v>
      </c>
      <c r="B94" s="45">
        <v>27</v>
      </c>
      <c r="C94" s="43" t="s">
        <v>175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 t="s">
        <v>176</v>
      </c>
      <c r="B95" s="46">
        <v>242</v>
      </c>
      <c r="C95" s="43" t="s">
        <v>177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 t="s">
        <v>178</v>
      </c>
      <c r="B96" s="46">
        <v>125</v>
      </c>
      <c r="C96" s="43" t="s">
        <v>179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 t="s">
        <v>180</v>
      </c>
      <c r="B97" s="47">
        <v>1.2490000000000001</v>
      </c>
      <c r="C97" s="43" t="s">
        <v>181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 t="s">
        <v>182</v>
      </c>
      <c r="B98" s="9">
        <v>7.75</v>
      </c>
      <c r="C98" s="43" t="s">
        <v>183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 t="s">
        <v>184</v>
      </c>
      <c r="B99" s="48">
        <v>66785</v>
      </c>
      <c r="C99" s="43" t="s">
        <v>185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 t="s">
        <v>186</v>
      </c>
      <c r="B100" s="49">
        <v>2.64E-2</v>
      </c>
      <c r="C100" s="43" t="s">
        <v>187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 t="s">
        <v>188</v>
      </c>
      <c r="B101" s="10">
        <v>0</v>
      </c>
      <c r="C101" s="43" t="s">
        <v>189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</sheetData>
  <phoneticPr fontId="2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"/>
  <sheetViews>
    <sheetView workbookViewId="0">
      <selection activeCell="B5" sqref="B5"/>
    </sheetView>
  </sheetViews>
  <sheetFormatPr baseColWidth="10" defaultColWidth="8.83203125" defaultRowHeight="14"/>
  <cols>
    <col min="1" max="1" width="36" customWidth="1"/>
    <col min="2" max="4" width="16" customWidth="1"/>
    <col min="6" max="6" width="24" customWidth="1"/>
    <col min="7" max="8" width="12" customWidth="1"/>
    <col min="9" max="9" width="11" customWidth="1"/>
    <col min="10" max="11" width="10" customWidth="1"/>
  </cols>
  <sheetData>
    <row r="1" spans="1:11">
      <c r="A1" s="18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191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5" t="s">
        <v>192</v>
      </c>
      <c r="B3" s="2"/>
      <c r="C3" s="2"/>
      <c r="D3" s="2"/>
      <c r="E3" s="2"/>
      <c r="F3" s="35" t="s">
        <v>193</v>
      </c>
      <c r="G3" s="2"/>
      <c r="H3" s="2"/>
      <c r="I3" s="2"/>
      <c r="J3" s="2"/>
      <c r="K3" s="2"/>
    </row>
    <row r="4" spans="1:11">
      <c r="A4" s="8" t="s">
        <v>194</v>
      </c>
      <c r="B4" s="42">
        <f>IFERROR((FS!I63+FS!J63+FS!K63+FS!L63)+(FS!I64+FS!J64+FS!K64+FS!L64),"")</f>
        <v>1535.1171417260498</v>
      </c>
      <c r="C4" s="2"/>
      <c r="D4" s="2"/>
      <c r="E4" s="2"/>
      <c r="F4" s="5" t="s">
        <v>195</v>
      </c>
      <c r="G4" s="5" t="s">
        <v>196</v>
      </c>
      <c r="H4" s="5" t="s">
        <v>197</v>
      </c>
      <c r="I4" s="2"/>
      <c r="J4" s="2"/>
      <c r="K4" s="2"/>
    </row>
    <row r="5" spans="1:11">
      <c r="A5" s="2" t="s">
        <v>198</v>
      </c>
      <c r="B5" s="10">
        <v>5</v>
      </c>
      <c r="C5" s="2"/>
      <c r="D5" s="2"/>
      <c r="E5" s="2"/>
      <c r="F5" s="79" t="s">
        <v>199</v>
      </c>
      <c r="G5" s="50">
        <v>23.26</v>
      </c>
      <c r="H5" s="50">
        <v>2.4</v>
      </c>
      <c r="I5" s="2"/>
      <c r="J5" s="2"/>
      <c r="K5" s="2"/>
    </row>
    <row r="6" spans="1:11">
      <c r="A6" s="2" t="s">
        <v>200</v>
      </c>
      <c r="B6" s="10">
        <v>2</v>
      </c>
      <c r="C6" s="2"/>
      <c r="D6" s="2"/>
      <c r="E6" s="2"/>
      <c r="F6" s="79" t="s">
        <v>201</v>
      </c>
      <c r="G6" s="50">
        <v>22.71</v>
      </c>
      <c r="H6" s="50">
        <v>2.48</v>
      </c>
      <c r="I6" s="2"/>
      <c r="J6" s="2"/>
      <c r="K6" s="2"/>
    </row>
    <row r="7" spans="1:11">
      <c r="A7" s="2" t="s">
        <v>202</v>
      </c>
      <c r="B7" s="10">
        <v>1.5</v>
      </c>
      <c r="C7" s="2"/>
      <c r="D7" s="2"/>
      <c r="E7" s="2"/>
      <c r="F7" s="79" t="s">
        <v>203</v>
      </c>
      <c r="G7" s="50">
        <v>3.6</v>
      </c>
      <c r="H7" s="50">
        <v>0.49</v>
      </c>
      <c r="I7" s="2"/>
      <c r="J7" s="2"/>
      <c r="K7" s="2"/>
    </row>
    <row r="8" spans="1:11">
      <c r="A8" s="2" t="s">
        <v>204</v>
      </c>
      <c r="B8" s="10">
        <v>5</v>
      </c>
      <c r="C8" s="2"/>
      <c r="D8" s="2"/>
      <c r="E8" s="2"/>
      <c r="F8" s="79" t="s">
        <v>205</v>
      </c>
      <c r="G8" s="50">
        <v>26.86</v>
      </c>
      <c r="H8" s="50">
        <v>2.89</v>
      </c>
      <c r="I8" s="2"/>
      <c r="J8" s="2"/>
      <c r="K8" s="2"/>
    </row>
    <row r="9" spans="1:11">
      <c r="A9" s="2" t="s">
        <v>206</v>
      </c>
      <c r="B9" s="44">
        <v>1.2490000000000001</v>
      </c>
      <c r="C9" s="2"/>
      <c r="D9" s="2"/>
      <c r="E9" s="2"/>
      <c r="F9" s="79" t="s">
        <v>207</v>
      </c>
      <c r="G9" s="50">
        <v>19.649999999999999</v>
      </c>
      <c r="H9" s="50">
        <v>1.92</v>
      </c>
      <c r="I9" s="2"/>
      <c r="J9" s="2"/>
      <c r="K9" s="2"/>
    </row>
    <row r="10" spans="1:11">
      <c r="A10" s="8" t="s">
        <v>208</v>
      </c>
      <c r="B10" s="51">
        <f>B7+B9*B8</f>
        <v>7.745000000000001</v>
      </c>
      <c r="C10" s="2"/>
      <c r="D10" s="2"/>
      <c r="E10" s="2"/>
      <c r="F10" s="8" t="s">
        <v>209</v>
      </c>
      <c r="G10" s="50">
        <v>21.36</v>
      </c>
      <c r="H10" s="50">
        <v>2.0299999999999998</v>
      </c>
      <c r="I10" s="2"/>
      <c r="J10" s="2"/>
      <c r="K10" s="2"/>
    </row>
    <row r="11" spans="1:11">
      <c r="A11" s="8" t="s">
        <v>210</v>
      </c>
      <c r="B11" s="52">
        <f ca="1">(DATE(YEAR(TODAY())+IF(MONTH(TODAY())&gt;3,1,0),3+1,0)-TODAY())/365.25</f>
        <v>0.55304585900068448</v>
      </c>
      <c r="C11" s="2"/>
      <c r="D11" s="2"/>
      <c r="E11" s="2"/>
      <c r="F11" s="79" t="s">
        <v>211</v>
      </c>
      <c r="G11" s="50">
        <v>29.97</v>
      </c>
      <c r="H11" s="50">
        <v>26.39</v>
      </c>
      <c r="I11" s="2"/>
      <c r="J11" s="2"/>
      <c r="K11" s="2"/>
    </row>
    <row r="12" spans="1:11">
      <c r="A12" s="2" t="s">
        <v>212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 t="s">
        <v>213</v>
      </c>
      <c r="B13" s="22">
        <f>B4</f>
        <v>1535.1171417260498</v>
      </c>
      <c r="C13" s="52">
        <f ca="1">1/(1+$B$10/100)^($B$11/2)</f>
        <v>0.97958347890597675</v>
      </c>
      <c r="D13" s="22">
        <f ca="1">B13*C13</f>
        <v>1503.7753902202032</v>
      </c>
      <c r="E13" s="2"/>
      <c r="F13" s="8" t="s">
        <v>214</v>
      </c>
      <c r="G13" s="53">
        <v>67890</v>
      </c>
      <c r="H13" s="2"/>
      <c r="I13" s="2"/>
      <c r="J13" s="2"/>
      <c r="K13" s="2"/>
    </row>
    <row r="14" spans="1:11">
      <c r="A14" s="2" t="s">
        <v>215</v>
      </c>
      <c r="B14" s="22">
        <f>B13*(1+$B$5/100)</f>
        <v>1611.8729988123523</v>
      </c>
      <c r="C14" s="52">
        <f ca="1">1/(1+$B$10/100)^($B$11+2-1-0.5)</f>
        <v>0.92445194636109962</v>
      </c>
      <c r="D14" s="22">
        <f ca="1">B14*C14</f>
        <v>1490.0991310389816</v>
      </c>
      <c r="E14" s="2"/>
      <c r="F14" s="2" t="s">
        <v>216</v>
      </c>
      <c r="G14" s="30">
        <v>3178.79</v>
      </c>
      <c r="H14" s="2"/>
      <c r="I14" s="2"/>
      <c r="J14" s="2"/>
      <c r="K14" s="2"/>
    </row>
    <row r="15" spans="1:11">
      <c r="A15" s="2" t="s">
        <v>217</v>
      </c>
      <c r="B15" s="22">
        <f>B14*(1+$B$5/100)</f>
        <v>1692.4666487529701</v>
      </c>
      <c r="C15" s="52">
        <f ca="1">1/(1+$B$10/100)^($B$11+3-1-0.5)</f>
        <v>0.85799985740507645</v>
      </c>
      <c r="D15" s="22">
        <f ca="1">B15*C15</f>
        <v>1452.1361432928959</v>
      </c>
      <c r="E15" s="2"/>
      <c r="F15" s="2" t="s">
        <v>218</v>
      </c>
      <c r="G15" s="30">
        <v>33498.9</v>
      </c>
      <c r="H15" s="2"/>
      <c r="I15" s="2"/>
      <c r="J15" s="2"/>
      <c r="K15" s="2"/>
    </row>
    <row r="16" spans="1:11">
      <c r="A16" s="2" t="s">
        <v>219</v>
      </c>
      <c r="B16" s="22">
        <f>B15*(1+$B$5/100)</f>
        <v>1777.0899811906186</v>
      </c>
      <c r="C16" s="52">
        <f ca="1">1/(1+$B$10/100)^($B$11+4-1-0.5)</f>
        <v>0.79632452309162982</v>
      </c>
      <c r="D16" s="22">
        <f ca="1">B16*C16</f>
        <v>1415.1403317625327</v>
      </c>
      <c r="E16" s="2"/>
      <c r="F16" s="2"/>
      <c r="G16" s="2"/>
      <c r="H16" s="2"/>
      <c r="I16" s="2"/>
      <c r="J16" s="2"/>
      <c r="K16" s="2"/>
    </row>
    <row r="17" spans="1:11">
      <c r="A17" s="2" t="s">
        <v>220</v>
      </c>
      <c r="B17" s="22">
        <f>B16*(1+$B$5/100)</f>
        <v>1865.9444802501496</v>
      </c>
      <c r="C17" s="52">
        <f ca="1">1/(1+$B$10/100)^($B$11+5-1-0.5)</f>
        <v>0.73908257746682415</v>
      </c>
      <c r="D17" s="22">
        <f ca="1">B17*C17</f>
        <v>1379.087055873274</v>
      </c>
      <c r="E17" s="2"/>
      <c r="F17" s="35" t="s">
        <v>221</v>
      </c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11" t="s">
        <v>222</v>
      </c>
      <c r="G18" s="11" t="s">
        <v>223</v>
      </c>
      <c r="H18" s="11" t="s">
        <v>224</v>
      </c>
      <c r="I18" s="11" t="s">
        <v>225</v>
      </c>
      <c r="J18" s="11" t="s">
        <v>196</v>
      </c>
      <c r="K18" s="11" t="s">
        <v>197</v>
      </c>
    </row>
    <row r="19" spans="1:11">
      <c r="A19" s="8" t="s">
        <v>226</v>
      </c>
      <c r="B19" s="22">
        <f>B17*(1+$B$6/100)/(($B$10-$B$6)/100)</f>
        <v>33129.040380420403</v>
      </c>
      <c r="C19" s="52">
        <f ca="1">1/(1+$B$10/100)^($B$11+4.5)</f>
        <v>0.68595533664376462</v>
      </c>
      <c r="D19" s="22">
        <f ca="1">B19*C19</f>
        <v>22725.042046836148</v>
      </c>
      <c r="E19" s="2"/>
      <c r="F19" s="2" t="s">
        <v>227</v>
      </c>
      <c r="G19" s="54">
        <v>64930</v>
      </c>
      <c r="H19" s="30">
        <v>2643.89</v>
      </c>
      <c r="I19" s="30">
        <v>33498.9</v>
      </c>
      <c r="J19" s="50">
        <v>24.56</v>
      </c>
      <c r="K19" s="50">
        <v>1.94</v>
      </c>
    </row>
    <row r="20" spans="1:11">
      <c r="A20" s="2"/>
      <c r="B20" s="2"/>
      <c r="C20" s="2"/>
      <c r="D20" s="2"/>
      <c r="E20" s="2"/>
      <c r="F20" s="2" t="s">
        <v>228</v>
      </c>
      <c r="G20" s="54">
        <v>66160</v>
      </c>
      <c r="H20" s="30">
        <v>2643.89</v>
      </c>
      <c r="I20" s="30">
        <v>33498.9</v>
      </c>
      <c r="J20" s="50">
        <v>25.02</v>
      </c>
      <c r="K20" s="50">
        <v>1.97</v>
      </c>
    </row>
    <row r="21" spans="1:11">
      <c r="A21" s="8" t="s">
        <v>229</v>
      </c>
      <c r="B21" s="14">
        <f ca="1">SUM(D13:D17)+D19</f>
        <v>29965.280099024036</v>
      </c>
      <c r="C21" s="2"/>
      <c r="D21" s="2"/>
      <c r="E21" s="2"/>
      <c r="F21" s="2" t="s">
        <v>230</v>
      </c>
      <c r="G21" s="54">
        <v>70480</v>
      </c>
      <c r="H21" s="30">
        <v>2643.89</v>
      </c>
      <c r="I21" s="30">
        <v>33498.9</v>
      </c>
      <c r="J21" s="50">
        <v>26.66</v>
      </c>
      <c r="K21" s="50">
        <v>2.1</v>
      </c>
    </row>
    <row r="22" spans="1:11">
      <c r="A22" s="2" t="s">
        <v>231</v>
      </c>
      <c r="B22" s="42">
        <f>FS!I30-FS!I41</f>
        <v>7060.9</v>
      </c>
      <c r="C22" s="2"/>
      <c r="D22" s="2"/>
      <c r="E22" s="2"/>
      <c r="F22" s="2" t="s">
        <v>232</v>
      </c>
      <c r="G22" s="54">
        <v>70980</v>
      </c>
      <c r="H22" s="30">
        <v>2643.89</v>
      </c>
      <c r="I22" s="30">
        <v>33498.9</v>
      </c>
      <c r="J22" s="50">
        <v>26.85</v>
      </c>
      <c r="K22" s="50">
        <v>2.12</v>
      </c>
    </row>
    <row r="23" spans="1:11">
      <c r="A23" s="8" t="s">
        <v>233</v>
      </c>
      <c r="B23" s="14">
        <f ca="1">B21+B22</f>
        <v>37026.180099024037</v>
      </c>
      <c r="C23" s="2"/>
      <c r="D23" s="2"/>
      <c r="E23" s="2"/>
      <c r="F23" s="2" t="s">
        <v>234</v>
      </c>
      <c r="G23" s="54">
        <v>73650</v>
      </c>
      <c r="H23" s="30">
        <v>2643.89</v>
      </c>
      <c r="I23" s="30">
        <v>33498.9</v>
      </c>
      <c r="J23" s="50">
        <v>27.86</v>
      </c>
      <c r="K23" s="50">
        <v>2.2000000000000002</v>
      </c>
    </row>
    <row r="24" spans="1:11">
      <c r="A24" s="2" t="s">
        <v>164</v>
      </c>
      <c r="B24" s="12">
        <v>62.87</v>
      </c>
      <c r="C24" s="2"/>
      <c r="D24" s="2"/>
      <c r="E24" s="2"/>
      <c r="F24" s="2" t="s">
        <v>235</v>
      </c>
      <c r="G24" s="54">
        <v>75790</v>
      </c>
      <c r="H24" s="30">
        <v>2643.89</v>
      </c>
      <c r="I24" s="30">
        <v>33498.9</v>
      </c>
      <c r="J24" s="50">
        <v>28.67</v>
      </c>
      <c r="K24" s="50">
        <v>2.2599999999999998</v>
      </c>
    </row>
    <row r="25" spans="1:11">
      <c r="A25" s="8" t="s">
        <v>236</v>
      </c>
      <c r="B25" s="55">
        <f ca="1">B23*100/B24</f>
        <v>58893.240176593034</v>
      </c>
      <c r="C25" s="2"/>
      <c r="D25" s="2"/>
      <c r="E25" s="2"/>
      <c r="F25" s="2" t="s">
        <v>237</v>
      </c>
      <c r="G25" s="54">
        <v>75350</v>
      </c>
      <c r="H25" s="30">
        <v>2643.89</v>
      </c>
      <c r="I25" s="30">
        <v>33498.9</v>
      </c>
      <c r="J25" s="50">
        <v>28.5</v>
      </c>
      <c r="K25" s="50">
        <v>2.25</v>
      </c>
    </row>
    <row r="26" spans="1:11">
      <c r="A26" s="2" t="s">
        <v>238</v>
      </c>
      <c r="B26" s="28">
        <f>B22*100/B24</f>
        <v>11230.952759662796</v>
      </c>
      <c r="C26" s="2"/>
      <c r="D26" s="2"/>
      <c r="E26" s="2"/>
      <c r="F26" s="2" t="s">
        <v>239</v>
      </c>
      <c r="G26" s="54">
        <v>74190</v>
      </c>
      <c r="H26" s="30">
        <v>3178.79</v>
      </c>
      <c r="I26" s="30">
        <v>33498.9</v>
      </c>
      <c r="J26" s="50">
        <v>23.34</v>
      </c>
      <c r="K26" s="50">
        <v>2.21</v>
      </c>
    </row>
    <row r="27" spans="1:11">
      <c r="A27" s="2"/>
      <c r="B27" s="2"/>
      <c r="C27" s="2"/>
      <c r="D27" s="2"/>
      <c r="E27" s="2"/>
      <c r="F27" s="2" t="s">
        <v>240</v>
      </c>
      <c r="G27" s="54">
        <v>78340</v>
      </c>
      <c r="H27" s="30">
        <v>3178.79</v>
      </c>
      <c r="I27" s="30">
        <v>33498.9</v>
      </c>
      <c r="J27" s="50">
        <v>24.64</v>
      </c>
      <c r="K27" s="50">
        <v>2.34</v>
      </c>
    </row>
    <row r="28" spans="1:11">
      <c r="A28" s="35" t="s">
        <v>241</v>
      </c>
      <c r="B28" s="2"/>
      <c r="C28" s="2"/>
      <c r="D28" s="2"/>
      <c r="E28" s="2"/>
      <c r="F28" s="2" t="s">
        <v>242</v>
      </c>
      <c r="G28" s="54">
        <v>78320</v>
      </c>
      <c r="H28" s="30">
        <v>3178.79</v>
      </c>
      <c r="I28" s="30">
        <v>33498.9</v>
      </c>
      <c r="J28" s="50">
        <v>24.64</v>
      </c>
      <c r="K28" s="50">
        <v>2.34</v>
      </c>
    </row>
    <row r="29" spans="1:11">
      <c r="A29" s="8" t="s">
        <v>243</v>
      </c>
      <c r="B29" s="56">
        <f ca="1">MAX(0,MIN(1,1-(TODAY()-DATE(YEAR(TODAY())-IF(MONTH(TODAY())&gt;3,0,1),3+1,0))/365.25))</f>
        <v>0.5537303216974675</v>
      </c>
      <c r="C29" s="2"/>
      <c r="D29" s="2"/>
      <c r="E29" s="2"/>
      <c r="F29" s="2" t="s">
        <v>244</v>
      </c>
      <c r="G29" s="54">
        <v>77330</v>
      </c>
      <c r="H29" s="30">
        <v>3178.79</v>
      </c>
      <c r="I29" s="30">
        <v>33498.9</v>
      </c>
      <c r="J29" s="50">
        <v>24.33</v>
      </c>
      <c r="K29" s="50">
        <v>2.31</v>
      </c>
    </row>
    <row r="30" spans="1:11">
      <c r="A30" s="2" t="s">
        <v>245</v>
      </c>
      <c r="B30" s="31">
        <f>FS!I22+FS!J22+FS!K22+FS!L22</f>
        <v>3587.918495673387</v>
      </c>
      <c r="C30" s="2"/>
      <c r="D30" s="2"/>
      <c r="E30" s="2"/>
      <c r="F30" s="2" t="s">
        <v>246</v>
      </c>
      <c r="G30" s="54">
        <v>76430</v>
      </c>
      <c r="H30" s="30">
        <v>3178.79</v>
      </c>
      <c r="I30" s="30">
        <v>33498.9</v>
      </c>
      <c r="J30" s="50">
        <v>24.04</v>
      </c>
      <c r="K30" s="50">
        <v>2.2799999999999998</v>
      </c>
    </row>
    <row r="31" spans="1:11">
      <c r="A31" s="2" t="s">
        <v>247</v>
      </c>
      <c r="B31" s="31">
        <f>FS!M22+FS!N22+FS!O22+FS!P22</f>
        <v>4333.7872184306561</v>
      </c>
      <c r="C31" s="2"/>
      <c r="D31" s="2"/>
      <c r="E31" s="2"/>
      <c r="F31" s="2" t="s">
        <v>248</v>
      </c>
      <c r="G31" s="54">
        <v>77610</v>
      </c>
      <c r="H31" s="30">
        <v>3178.79</v>
      </c>
      <c r="I31" s="30">
        <v>33498.9</v>
      </c>
      <c r="J31" s="50">
        <v>24.41</v>
      </c>
      <c r="K31" s="50">
        <v>2.3199999999999998</v>
      </c>
    </row>
    <row r="32" spans="1:11">
      <c r="A32" s="8" t="s">
        <v>249</v>
      </c>
      <c r="B32" s="55">
        <f ca="1">B29*B30+(1-B29)*B31</f>
        <v>3920.7770906341943</v>
      </c>
      <c r="C32" s="2"/>
      <c r="D32" s="2"/>
      <c r="E32" s="2"/>
      <c r="F32" s="2" t="s">
        <v>250</v>
      </c>
      <c r="G32" s="54">
        <v>75200</v>
      </c>
      <c r="H32" s="30">
        <v>3178.79</v>
      </c>
      <c r="I32" s="30">
        <v>33498.9</v>
      </c>
      <c r="J32" s="50">
        <v>23.66</v>
      </c>
      <c r="K32" s="50">
        <v>2.2400000000000002</v>
      </c>
    </row>
    <row r="33" spans="1:11">
      <c r="A33" s="2" t="s">
        <v>251</v>
      </c>
      <c r="B33" s="31">
        <f>Valuation!G5</f>
        <v>23.26</v>
      </c>
      <c r="C33" s="2"/>
      <c r="D33" s="2"/>
      <c r="E33" s="2"/>
      <c r="F33" s="2" t="s">
        <v>252</v>
      </c>
      <c r="G33" s="54">
        <v>70910</v>
      </c>
      <c r="H33" s="30">
        <v>3178.79</v>
      </c>
      <c r="I33" s="30">
        <v>33498.9</v>
      </c>
      <c r="J33" s="50">
        <v>22.31</v>
      </c>
      <c r="K33" s="50">
        <v>2.12</v>
      </c>
    </row>
    <row r="34" spans="1:11">
      <c r="A34" s="2" t="s">
        <v>253</v>
      </c>
      <c r="B34" s="31">
        <f>Valuation!G8</f>
        <v>26.86</v>
      </c>
      <c r="C34" s="2"/>
      <c r="D34" s="2"/>
      <c r="E34" s="2"/>
      <c r="F34" s="2" t="s">
        <v>254</v>
      </c>
      <c r="G34" s="54">
        <v>70690</v>
      </c>
      <c r="H34" s="30">
        <v>3178.79</v>
      </c>
      <c r="I34" s="30">
        <v>33498.9</v>
      </c>
      <c r="J34" s="50">
        <v>22.24</v>
      </c>
      <c r="K34" s="50">
        <v>2.11</v>
      </c>
    </row>
    <row r="35" spans="1:11">
      <c r="A35" s="2" t="s">
        <v>255</v>
      </c>
      <c r="B35" s="31">
        <f>Valuation!G9</f>
        <v>19.649999999999999</v>
      </c>
      <c r="C35" s="2"/>
      <c r="D35" s="2"/>
      <c r="E35" s="2"/>
      <c r="F35" s="2" t="s">
        <v>256</v>
      </c>
      <c r="G35" s="54">
        <v>71090</v>
      </c>
      <c r="H35" s="30">
        <v>3178.79</v>
      </c>
      <c r="I35" s="30">
        <v>33498.9</v>
      </c>
      <c r="J35" s="50">
        <v>22.36</v>
      </c>
      <c r="K35" s="50">
        <v>2.12</v>
      </c>
    </row>
    <row r="36" spans="1:11">
      <c r="A36" s="8" t="s">
        <v>257</v>
      </c>
      <c r="B36" s="55">
        <f ca="1">B32*B33</f>
        <v>91197.275128151363</v>
      </c>
      <c r="C36" s="2"/>
      <c r="D36" s="2"/>
      <c r="E36" s="2"/>
      <c r="F36" s="2" t="s">
        <v>258</v>
      </c>
      <c r="G36" s="54">
        <v>71800</v>
      </c>
      <c r="H36" s="30">
        <v>3178.79</v>
      </c>
      <c r="I36" s="30">
        <v>33498.9</v>
      </c>
      <c r="J36" s="50">
        <v>22.59</v>
      </c>
      <c r="K36" s="50">
        <v>2.14</v>
      </c>
    </row>
    <row r="37" spans="1:11">
      <c r="A37" s="2" t="s">
        <v>259</v>
      </c>
      <c r="B37" s="28">
        <f ca="1">B32*B34</f>
        <v>105312.07265443445</v>
      </c>
      <c r="C37" s="2"/>
      <c r="D37" s="2"/>
      <c r="E37" s="2"/>
      <c r="F37" s="2" t="s">
        <v>260</v>
      </c>
      <c r="G37" s="54">
        <v>72090</v>
      </c>
      <c r="H37" s="30">
        <v>3178.79</v>
      </c>
      <c r="I37" s="30">
        <v>33498.9</v>
      </c>
      <c r="J37" s="50">
        <v>22.68</v>
      </c>
      <c r="K37" s="50">
        <v>2.15</v>
      </c>
    </row>
    <row r="38" spans="1:11">
      <c r="A38" s="2" t="s">
        <v>261</v>
      </c>
      <c r="B38" s="28">
        <f ca="1">B32*B35</f>
        <v>77043.269830961915</v>
      </c>
      <c r="C38" s="2"/>
      <c r="D38" s="2"/>
      <c r="E38" s="2"/>
      <c r="F38" s="2" t="s">
        <v>262</v>
      </c>
      <c r="G38" s="54">
        <v>71520</v>
      </c>
      <c r="H38" s="30">
        <v>3178.79</v>
      </c>
      <c r="I38" s="30">
        <v>33498.9</v>
      </c>
      <c r="J38" s="50">
        <v>22.5</v>
      </c>
      <c r="K38" s="50">
        <v>2.13</v>
      </c>
    </row>
    <row r="39" spans="1:11">
      <c r="A39" s="2"/>
      <c r="B39" s="2"/>
      <c r="C39" s="2"/>
      <c r="D39" s="2"/>
      <c r="E39" s="2"/>
      <c r="F39" s="2" t="s">
        <v>263</v>
      </c>
      <c r="G39" s="54">
        <v>71020</v>
      </c>
      <c r="H39" s="30">
        <v>3178.79</v>
      </c>
      <c r="I39" s="30">
        <v>33498.9</v>
      </c>
      <c r="J39" s="50">
        <v>22.34</v>
      </c>
      <c r="K39" s="50">
        <v>2.12</v>
      </c>
    </row>
    <row r="40" spans="1:11">
      <c r="A40" s="2"/>
      <c r="B40" s="2"/>
      <c r="C40" s="2"/>
      <c r="D40" s="2"/>
      <c r="E40" s="2"/>
      <c r="F40" s="2" t="s">
        <v>264</v>
      </c>
      <c r="G40" s="54">
        <v>70300</v>
      </c>
      <c r="H40" s="30">
        <v>3178.79</v>
      </c>
      <c r="I40" s="30">
        <v>33498.9</v>
      </c>
      <c r="J40" s="50">
        <v>22.12</v>
      </c>
      <c r="K40" s="50">
        <v>2.1</v>
      </c>
    </row>
    <row r="41" spans="1:11">
      <c r="A41" s="35" t="s">
        <v>265</v>
      </c>
      <c r="B41" s="2"/>
      <c r="C41" s="2"/>
      <c r="D41" s="2"/>
      <c r="E41" s="2"/>
      <c r="F41" s="2" t="s">
        <v>266</v>
      </c>
      <c r="G41" s="54">
        <v>70710</v>
      </c>
      <c r="H41" s="30">
        <v>3178.79</v>
      </c>
      <c r="I41" s="30">
        <v>33498.9</v>
      </c>
      <c r="J41" s="50">
        <v>22.24</v>
      </c>
      <c r="K41" s="50">
        <v>2.11</v>
      </c>
    </row>
    <row r="42" spans="1:11">
      <c r="A42" s="8" t="s">
        <v>267</v>
      </c>
      <c r="B42" s="57">
        <f>Valuation!G15</f>
        <v>33498.9</v>
      </c>
      <c r="C42" s="2"/>
      <c r="D42" s="2"/>
      <c r="E42" s="2"/>
      <c r="F42" s="2" t="s">
        <v>268</v>
      </c>
      <c r="G42" s="54">
        <v>69850</v>
      </c>
      <c r="H42" s="30">
        <v>3178.79</v>
      </c>
      <c r="I42" s="30">
        <v>33498.9</v>
      </c>
      <c r="J42" s="50">
        <v>21.97</v>
      </c>
      <c r="K42" s="50">
        <v>2.09</v>
      </c>
    </row>
    <row r="43" spans="1:11">
      <c r="A43" s="2" t="s">
        <v>269</v>
      </c>
      <c r="B43" s="31">
        <f>(FS!J18+FS!K18+FS!L18)*(1-FS!B88/100)*100/FS!B89</f>
        <v>1578.4172290021847</v>
      </c>
      <c r="C43" s="2"/>
      <c r="D43" s="2"/>
      <c r="E43" s="2"/>
      <c r="F43" s="2" t="s">
        <v>270</v>
      </c>
      <c r="G43" s="54">
        <v>66500</v>
      </c>
      <c r="H43" s="30">
        <v>3178.79</v>
      </c>
      <c r="I43" s="30">
        <v>33498.9</v>
      </c>
      <c r="J43" s="50">
        <v>20.92</v>
      </c>
      <c r="K43" s="50">
        <v>1.99</v>
      </c>
    </row>
    <row r="44" spans="1:11">
      <c r="A44" s="2" t="s">
        <v>271</v>
      </c>
      <c r="B44" s="31">
        <f>(FS!M18+FS!N18+FS!O18+FS!P18)*(1-FS!B88/100)*100/FS!B89</f>
        <v>2694.1317356120626</v>
      </c>
      <c r="C44" s="2"/>
      <c r="D44" s="2"/>
      <c r="E44" s="2"/>
      <c r="F44" s="2" t="s">
        <v>272</v>
      </c>
      <c r="G44" s="54">
        <v>67020</v>
      </c>
      <c r="H44" s="30">
        <v>3178.79</v>
      </c>
      <c r="I44" s="30">
        <v>33498.9</v>
      </c>
      <c r="J44" s="50">
        <v>21.08</v>
      </c>
      <c r="K44" s="50">
        <v>2</v>
      </c>
    </row>
    <row r="45" spans="1:11">
      <c r="A45" s="8" t="s">
        <v>273</v>
      </c>
      <c r="B45" s="58">
        <f ca="1">B42+B43+(1-B29)*B44</f>
        <v>36279.62653195842</v>
      </c>
      <c r="C45" s="2"/>
      <c r="D45" s="2"/>
      <c r="E45" s="2"/>
      <c r="F45" s="2" t="s">
        <v>274</v>
      </c>
      <c r="G45" s="54">
        <v>67140</v>
      </c>
      <c r="H45" s="30">
        <v>3178.79</v>
      </c>
      <c r="I45" s="30">
        <v>33498.9</v>
      </c>
      <c r="J45" s="50">
        <v>21.12</v>
      </c>
      <c r="K45" s="50">
        <v>2</v>
      </c>
    </row>
    <row r="46" spans="1:11">
      <c r="A46" s="2" t="s">
        <v>275</v>
      </c>
      <c r="B46" s="59">
        <f>Valuation!H5</f>
        <v>2.4</v>
      </c>
      <c r="C46" s="2"/>
      <c r="D46" s="2"/>
      <c r="E46" s="2"/>
      <c r="F46" s="2" t="s">
        <v>276</v>
      </c>
      <c r="G46" s="54">
        <v>68590</v>
      </c>
      <c r="H46" s="30">
        <v>3178.79</v>
      </c>
      <c r="I46" s="30">
        <v>33498.9</v>
      </c>
      <c r="J46" s="50">
        <v>21.58</v>
      </c>
      <c r="K46" s="50">
        <v>2.0499999999999998</v>
      </c>
    </row>
    <row r="47" spans="1:11">
      <c r="A47" s="2" t="s">
        <v>277</v>
      </c>
      <c r="B47" s="59">
        <f>Valuation!H8</f>
        <v>2.89</v>
      </c>
      <c r="C47" s="2"/>
      <c r="D47" s="2"/>
      <c r="E47" s="2"/>
      <c r="F47" s="2" t="s">
        <v>278</v>
      </c>
      <c r="G47" s="54">
        <v>65650</v>
      </c>
      <c r="H47" s="30">
        <v>3178.79</v>
      </c>
      <c r="I47" s="30">
        <v>33498.9</v>
      </c>
      <c r="J47" s="50">
        <v>20.65</v>
      </c>
      <c r="K47" s="50">
        <v>1.96</v>
      </c>
    </row>
    <row r="48" spans="1:11">
      <c r="A48" s="2" t="s">
        <v>279</v>
      </c>
      <c r="B48" s="59">
        <f>Valuation!H9</f>
        <v>1.92</v>
      </c>
      <c r="C48" s="2"/>
      <c r="D48" s="2"/>
      <c r="E48" s="2"/>
      <c r="F48" s="2" t="s">
        <v>280</v>
      </c>
      <c r="G48" s="54">
        <v>67890</v>
      </c>
      <c r="H48" s="30">
        <v>3178.79</v>
      </c>
      <c r="I48" s="30">
        <v>33498.9</v>
      </c>
      <c r="J48" s="50">
        <v>21.36</v>
      </c>
      <c r="K48" s="50">
        <v>2.0299999999999998</v>
      </c>
    </row>
    <row r="49" spans="1:11">
      <c r="A49" s="8" t="s">
        <v>257</v>
      </c>
      <c r="B49" s="55">
        <f ca="1">B45*B46</f>
        <v>87071.103676700208</v>
      </c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 t="s">
        <v>259</v>
      </c>
      <c r="B50" s="28">
        <f ca="1">B45*B47</f>
        <v>104848.12067735984</v>
      </c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 t="s">
        <v>261</v>
      </c>
      <c r="B51" s="28">
        <f ca="1">B45*B48</f>
        <v>69656.882941360163</v>
      </c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8">
      <c r="A54" s="60" t="s">
        <v>281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8" t="s">
        <v>214</v>
      </c>
      <c r="B55" s="57">
        <f>Valuation!G13</f>
        <v>67890</v>
      </c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 t="s">
        <v>282</v>
      </c>
      <c r="B56" s="28">
        <f ca="1">B25</f>
        <v>58893.240176593034</v>
      </c>
      <c r="C56" s="61" t="str">
        <f ca="1">IF(B55&lt;B56*0.9,"Cheap",IF(B55&gt;B56*1.1,"Rich","Fair"))</f>
        <v>Rich</v>
      </c>
      <c r="D56" s="2"/>
      <c r="E56" s="2"/>
      <c r="F56" s="2"/>
      <c r="G56" s="2"/>
      <c r="H56" s="2"/>
      <c r="I56" s="2"/>
      <c r="J56" s="2"/>
      <c r="K56" s="2"/>
    </row>
    <row r="57" spans="1:11">
      <c r="A57" s="2" t="s">
        <v>283</v>
      </c>
      <c r="B57" s="28">
        <f ca="1">B36</f>
        <v>91197.275128151363</v>
      </c>
      <c r="C57" s="61" t="str">
        <f ca="1">IF(B55&lt;B38,"Cheap",IF(B55&gt;B37,"Rich","Fair"))</f>
        <v>Cheap</v>
      </c>
      <c r="D57" s="2"/>
      <c r="E57" s="2"/>
      <c r="F57" s="2"/>
      <c r="G57" s="2"/>
      <c r="H57" s="2"/>
      <c r="I57" s="2"/>
      <c r="J57" s="2"/>
      <c r="K57" s="2"/>
    </row>
    <row r="58" spans="1:11">
      <c r="A58" s="2" t="s">
        <v>284</v>
      </c>
      <c r="B58" s="28">
        <f ca="1">B49</f>
        <v>87071.103676700208</v>
      </c>
      <c r="C58" s="61" t="str">
        <f ca="1">IF(B55&lt;B51,"Cheap",IF(B55&gt;B50,"Rich","Fair"))</f>
        <v>Cheap</v>
      </c>
      <c r="D58" s="2"/>
      <c r="E58" s="2"/>
      <c r="F58" s="2"/>
      <c r="G58" s="2"/>
      <c r="H58" s="2"/>
      <c r="I58" s="2"/>
      <c r="J58" s="2"/>
      <c r="K58" s="2"/>
    </row>
    <row r="59" spans="1:11" ht="18">
      <c r="A59" s="8" t="s">
        <v>285</v>
      </c>
      <c r="B59" s="62" t="str">
        <f ca="1">IF(AND(C56="Cheap",C57="Cheap",C58="Cheap"),"CHEAP — buy",IF(AND(C56="Rich",C57="Rich",C58="Rich"),"RICH — sell",IF(OR(C56="Rich",C57="Rich",C58="Rich"),"Mixed-rich","Fair / Mixed-cheap")))</f>
        <v>Mixed-rich</v>
      </c>
      <c r="C59" s="2"/>
      <c r="D59" s="2"/>
      <c r="E59" s="2"/>
      <c r="F59" s="2"/>
      <c r="G59" s="2"/>
      <c r="H59" s="2"/>
      <c r="I59" s="2"/>
      <c r="J59" s="2"/>
      <c r="K59" s="2"/>
    </row>
  </sheetData>
  <phoneticPr fontId="2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3"/>
  <sheetViews>
    <sheetView workbookViewId="0"/>
  </sheetViews>
  <sheetFormatPr baseColWidth="10" defaultColWidth="8.83203125" defaultRowHeight="14"/>
  <cols>
    <col min="1" max="1" width="32" customWidth="1"/>
    <col min="2" max="26" width="9" customWidth="1"/>
  </cols>
  <sheetData>
    <row r="1" spans="1:26" ht="16">
      <c r="A1" s="63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287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1" t="s">
        <v>288</v>
      </c>
      <c r="B4" s="5" t="s">
        <v>289</v>
      </c>
      <c r="C4" s="5" t="s">
        <v>290</v>
      </c>
      <c r="D4" s="5" t="s">
        <v>291</v>
      </c>
      <c r="E4" s="5" t="s">
        <v>292</v>
      </c>
      <c r="F4" s="5" t="s">
        <v>293</v>
      </c>
      <c r="G4" s="5" t="s">
        <v>294</v>
      </c>
      <c r="H4" s="5" t="s">
        <v>295</v>
      </c>
      <c r="I4" s="5" t="s">
        <v>296</v>
      </c>
      <c r="J4" s="5" t="s">
        <v>297</v>
      </c>
      <c r="K4" s="5" t="s">
        <v>298</v>
      </c>
      <c r="L4" s="5" t="s">
        <v>299</v>
      </c>
      <c r="M4" s="5" t="s">
        <v>300</v>
      </c>
      <c r="N4" s="5" t="s">
        <v>301</v>
      </c>
      <c r="O4" s="5" t="s">
        <v>302</v>
      </c>
      <c r="P4" s="5" t="s">
        <v>303</v>
      </c>
      <c r="Q4" s="5" t="s">
        <v>304</v>
      </c>
      <c r="R4" s="5" t="s">
        <v>305</v>
      </c>
      <c r="S4" s="5" t="s">
        <v>306</v>
      </c>
      <c r="T4" s="5" t="s">
        <v>307</v>
      </c>
      <c r="U4" s="5" t="s">
        <v>308</v>
      </c>
      <c r="V4" s="5" t="s">
        <v>309</v>
      </c>
      <c r="W4" s="5" t="s">
        <v>310</v>
      </c>
      <c r="X4" s="5" t="s">
        <v>311</v>
      </c>
      <c r="Y4" s="5" t="s">
        <v>312</v>
      </c>
      <c r="Z4" s="5" t="s">
        <v>313</v>
      </c>
    </row>
    <row r="5" spans="1:26">
      <c r="A5" s="8" t="s">
        <v>314</v>
      </c>
      <c r="B5" s="12">
        <v>1239.4000000000001</v>
      </c>
      <c r="C5" s="12">
        <v>1107.7</v>
      </c>
      <c r="D5" s="12">
        <v>1253.5999999999999</v>
      </c>
      <c r="E5" s="12">
        <v>1225.5</v>
      </c>
      <c r="F5" s="12">
        <v>1193.3</v>
      </c>
      <c r="G5" s="12">
        <v>1430.9</v>
      </c>
      <c r="H5" s="12">
        <v>1161.5</v>
      </c>
      <c r="I5" s="12">
        <v>1182</v>
      </c>
      <c r="J5" s="12">
        <v>1511</v>
      </c>
      <c r="K5" s="12">
        <v>1302.0999999999999</v>
      </c>
      <c r="L5" s="12">
        <v>1287.2</v>
      </c>
      <c r="M5" s="12">
        <v>1331.6</v>
      </c>
      <c r="N5" s="12">
        <v>1283.5999999999999</v>
      </c>
      <c r="O5" s="12">
        <v>1201.7</v>
      </c>
      <c r="P5" s="12">
        <v>1391.5</v>
      </c>
      <c r="Q5" s="12">
        <v>1434.6</v>
      </c>
      <c r="R5" s="12">
        <v>1370</v>
      </c>
      <c r="S5" s="12">
        <v>1586.4</v>
      </c>
      <c r="T5" s="12">
        <v>1455.8</v>
      </c>
      <c r="U5" s="12">
        <v>1467.4</v>
      </c>
      <c r="V5" s="12">
        <v>1934.7</v>
      </c>
      <c r="W5" s="12">
        <v>1889.7</v>
      </c>
      <c r="X5" s="12">
        <v>1770.1</v>
      </c>
      <c r="Y5" s="12">
        <v>2033.8</v>
      </c>
      <c r="Z5" s="2"/>
    </row>
    <row r="6" spans="1:26">
      <c r="A6" s="2" t="s">
        <v>315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0">
        <f t="shared" ref="N6:Z6" si="0">IFERROR(N5/B5-1,"")</f>
        <v>3.5662417298692795E-2</v>
      </c>
      <c r="O6" s="20">
        <f t="shared" si="0"/>
        <v>8.4860521801931821E-2</v>
      </c>
      <c r="P6" s="20">
        <f t="shared" si="0"/>
        <v>0.11000319081046595</v>
      </c>
      <c r="Q6" s="20">
        <f t="shared" si="0"/>
        <v>0.17062423500611978</v>
      </c>
      <c r="R6" s="20">
        <f t="shared" si="0"/>
        <v>0.14807676192072416</v>
      </c>
      <c r="S6" s="20">
        <f t="shared" si="0"/>
        <v>0.10867286323293035</v>
      </c>
      <c r="T6" s="20">
        <f t="shared" si="0"/>
        <v>0.25337925096857505</v>
      </c>
      <c r="U6" s="20">
        <f t="shared" si="0"/>
        <v>0.24145516074450102</v>
      </c>
      <c r="V6" s="20">
        <f t="shared" si="0"/>
        <v>0.28041032428855073</v>
      </c>
      <c r="W6" s="20">
        <f t="shared" si="0"/>
        <v>0.45127102373089634</v>
      </c>
      <c r="X6" s="20">
        <f t="shared" si="0"/>
        <v>0.37515537600994397</v>
      </c>
      <c r="Y6" s="20">
        <f t="shared" si="0"/>
        <v>0.5273355361970562</v>
      </c>
      <c r="Z6" s="20">
        <f t="shared" si="0"/>
        <v>-1</v>
      </c>
    </row>
    <row r="7" spans="1:26">
      <c r="A7" s="8" t="s">
        <v>316</v>
      </c>
      <c r="B7" s="12">
        <v>357</v>
      </c>
      <c r="C7" s="12">
        <v>321.89999999999998</v>
      </c>
      <c r="D7" s="12">
        <v>415.3</v>
      </c>
      <c r="E7" s="12">
        <v>334.4</v>
      </c>
      <c r="F7" s="12">
        <v>343.3</v>
      </c>
      <c r="G7" s="12">
        <v>399.2</v>
      </c>
      <c r="H7" s="12">
        <v>320</v>
      </c>
      <c r="I7" s="12">
        <v>337.7</v>
      </c>
      <c r="J7" s="12">
        <v>492.6</v>
      </c>
      <c r="K7" s="12">
        <v>343.8</v>
      </c>
      <c r="L7" s="12">
        <v>330.2</v>
      </c>
      <c r="M7" s="12">
        <v>398.7</v>
      </c>
      <c r="N7" s="12">
        <v>354.5</v>
      </c>
      <c r="O7" s="12">
        <v>318.89999999999998</v>
      </c>
      <c r="P7" s="12">
        <v>436.4</v>
      </c>
      <c r="Q7" s="12">
        <v>356.9</v>
      </c>
      <c r="R7" s="12">
        <v>319.89999999999998</v>
      </c>
      <c r="S7" s="12">
        <v>399.1</v>
      </c>
      <c r="T7" s="12">
        <v>326.2</v>
      </c>
      <c r="U7" s="12">
        <v>371.6</v>
      </c>
      <c r="V7" s="12">
        <v>504.7</v>
      </c>
      <c r="W7" s="12">
        <v>492.9</v>
      </c>
      <c r="X7" s="12">
        <v>453.3</v>
      </c>
      <c r="Y7" s="12">
        <v>580.20000000000005</v>
      </c>
      <c r="Z7" s="2"/>
    </row>
    <row r="8" spans="1:26">
      <c r="A8" s="2" t="s">
        <v>317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0">
        <f t="shared" ref="N8:Z8" si="1">IFERROR(N7/B7-1,"")</f>
        <v>-7.0028011204481544E-3</v>
      </c>
      <c r="O8" s="20">
        <f t="shared" si="1"/>
        <v>-9.3196644920783278E-3</v>
      </c>
      <c r="P8" s="20">
        <f t="shared" si="1"/>
        <v>5.0806645798218142E-2</v>
      </c>
      <c r="Q8" s="20">
        <f t="shared" si="1"/>
        <v>6.7284688995215225E-2</v>
      </c>
      <c r="R8" s="20">
        <f t="shared" si="1"/>
        <v>-6.8161957471599255E-2</v>
      </c>
      <c r="S8" s="20">
        <f t="shared" si="1"/>
        <v>-2.5050100200396663E-4</v>
      </c>
      <c r="T8" s="20">
        <f t="shared" si="1"/>
        <v>1.937499999999992E-2</v>
      </c>
      <c r="U8" s="20">
        <f t="shared" si="1"/>
        <v>0.10038495706248152</v>
      </c>
      <c r="V8" s="20">
        <f t="shared" si="1"/>
        <v>2.4563540397888772E-2</v>
      </c>
      <c r="W8" s="20">
        <f t="shared" si="1"/>
        <v>0.43368237347294936</v>
      </c>
      <c r="X8" s="20">
        <f t="shared" si="1"/>
        <v>0.37280436099333736</v>
      </c>
      <c r="Y8" s="20">
        <f t="shared" si="1"/>
        <v>0.45522949586155015</v>
      </c>
      <c r="Z8" s="20">
        <f t="shared" si="1"/>
        <v>-1</v>
      </c>
    </row>
    <row r="9" spans="1:26">
      <c r="A9" s="8" t="s">
        <v>318</v>
      </c>
      <c r="B9" s="12">
        <v>882.4</v>
      </c>
      <c r="C9" s="12">
        <v>785.8</v>
      </c>
      <c r="D9" s="12">
        <v>838.3</v>
      </c>
      <c r="E9" s="12">
        <v>891.1</v>
      </c>
      <c r="F9" s="12">
        <v>850</v>
      </c>
      <c r="G9" s="12">
        <v>1031.7</v>
      </c>
      <c r="H9" s="12">
        <v>841.5</v>
      </c>
      <c r="I9" s="12">
        <v>844.3</v>
      </c>
      <c r="J9" s="12">
        <v>1018.4</v>
      </c>
      <c r="K9" s="12">
        <v>958.4</v>
      </c>
      <c r="L9" s="12">
        <v>957</v>
      </c>
      <c r="M9" s="12">
        <v>932.9</v>
      </c>
      <c r="N9" s="12">
        <v>929.1</v>
      </c>
      <c r="O9" s="12">
        <v>882.8</v>
      </c>
      <c r="P9" s="12">
        <v>955</v>
      </c>
      <c r="Q9" s="12">
        <v>1077.5999999999999</v>
      </c>
      <c r="R9" s="12">
        <v>1050.2</v>
      </c>
      <c r="S9" s="12">
        <v>1187.4000000000001</v>
      </c>
      <c r="T9" s="12">
        <v>1129.5</v>
      </c>
      <c r="U9" s="12">
        <v>1095.8</v>
      </c>
      <c r="V9" s="12">
        <v>1430</v>
      </c>
      <c r="W9" s="12">
        <v>1396.8</v>
      </c>
      <c r="X9" s="12">
        <v>1316.8</v>
      </c>
      <c r="Y9" s="12">
        <v>1453.5</v>
      </c>
      <c r="Z9" s="2"/>
    </row>
    <row r="10" spans="1:26">
      <c r="A10" s="2" t="s">
        <v>319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0">
        <f t="shared" ref="N10:Z10" si="2">IFERROR(N9/B9-1,"")</f>
        <v>5.2923844061650183E-2</v>
      </c>
      <c r="O10" s="20">
        <f t="shared" si="2"/>
        <v>0.12344107915500135</v>
      </c>
      <c r="P10" s="20">
        <f t="shared" si="2"/>
        <v>0.13921030657282607</v>
      </c>
      <c r="Q10" s="20">
        <f t="shared" si="2"/>
        <v>0.20929188643249907</v>
      </c>
      <c r="R10" s="20">
        <f t="shared" si="2"/>
        <v>0.23552941176470599</v>
      </c>
      <c r="S10" s="20">
        <f t="shared" si="2"/>
        <v>0.15091596394300666</v>
      </c>
      <c r="T10" s="20">
        <f t="shared" si="2"/>
        <v>0.34224598930481287</v>
      </c>
      <c r="U10" s="20">
        <f t="shared" si="2"/>
        <v>0.29787990050929758</v>
      </c>
      <c r="V10" s="20">
        <f t="shared" si="2"/>
        <v>0.40416339355852315</v>
      </c>
      <c r="W10" s="20">
        <f t="shared" si="2"/>
        <v>0.45742904841402332</v>
      </c>
      <c r="X10" s="20">
        <f t="shared" si="2"/>
        <v>0.3759665621734587</v>
      </c>
      <c r="Y10" s="20">
        <f t="shared" si="2"/>
        <v>0.55804480651731159</v>
      </c>
      <c r="Z10" s="20">
        <f t="shared" si="2"/>
        <v>-1</v>
      </c>
    </row>
    <row r="11" spans="1:26">
      <c r="A11" s="8" t="s">
        <v>320</v>
      </c>
      <c r="B11" s="12">
        <v>8137.1</v>
      </c>
      <c r="C11" s="12">
        <v>8005.3</v>
      </c>
      <c r="D11" s="12">
        <v>7677.2</v>
      </c>
      <c r="E11" s="12">
        <v>7751.9</v>
      </c>
      <c r="F11" s="12">
        <v>7700</v>
      </c>
      <c r="G11" s="12">
        <v>7678.2</v>
      </c>
      <c r="H11" s="12">
        <v>7726.6</v>
      </c>
      <c r="I11" s="12">
        <v>7599.4</v>
      </c>
      <c r="J11" s="12">
        <v>6924</v>
      </c>
      <c r="K11" s="12">
        <v>6957.6</v>
      </c>
      <c r="L11" s="12">
        <v>7131.3</v>
      </c>
      <c r="M11" s="12">
        <v>7175.2</v>
      </c>
      <c r="N11" s="12">
        <v>7251</v>
      </c>
      <c r="O11" s="12">
        <v>7292</v>
      </c>
      <c r="P11" s="12">
        <v>7329.6</v>
      </c>
      <c r="Q11" s="12">
        <v>7564.8</v>
      </c>
      <c r="R11" s="12">
        <v>7594.8</v>
      </c>
      <c r="S11" s="12">
        <v>7574.3</v>
      </c>
      <c r="T11" s="12">
        <v>7750.9</v>
      </c>
      <c r="U11" s="12">
        <v>8026.2</v>
      </c>
      <c r="V11" s="12">
        <v>8116.1</v>
      </c>
      <c r="W11" s="12">
        <v>8782.5</v>
      </c>
      <c r="X11" s="12">
        <v>9282.2000000000007</v>
      </c>
      <c r="Y11" s="12">
        <v>9665</v>
      </c>
      <c r="Z11" s="2"/>
    </row>
    <row r="12" spans="1:26">
      <c r="A12" s="2" t="s">
        <v>321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0">
        <f t="shared" ref="N12:Z12" si="3">IFERROR(N11/B11-1,"")</f>
        <v>-0.10889628983298727</v>
      </c>
      <c r="O12" s="20">
        <f t="shared" si="3"/>
        <v>-8.910346895181942E-2</v>
      </c>
      <c r="P12" s="20">
        <f t="shared" si="3"/>
        <v>-4.5276923878497244E-2</v>
      </c>
      <c r="Q12" s="20">
        <f t="shared" si="3"/>
        <v>-2.4136018266489478E-2</v>
      </c>
      <c r="R12" s="20">
        <f t="shared" si="3"/>
        <v>-1.3662337662337598E-2</v>
      </c>
      <c r="S12" s="20">
        <f t="shared" si="3"/>
        <v>-1.3531817353025444E-2</v>
      </c>
      <c r="T12" s="20">
        <f t="shared" si="3"/>
        <v>3.1449796805838037E-3</v>
      </c>
      <c r="U12" s="20">
        <f t="shared" si="3"/>
        <v>5.6162328604889789E-2</v>
      </c>
      <c r="V12" s="20">
        <f t="shared" si="3"/>
        <v>0.17216926632004625</v>
      </c>
      <c r="W12" s="20">
        <f t="shared" si="3"/>
        <v>0.26228872024836147</v>
      </c>
      <c r="X12" s="20">
        <f t="shared" si="3"/>
        <v>0.30161401147055944</v>
      </c>
      <c r="Y12" s="20">
        <f t="shared" si="3"/>
        <v>0.34700078046604976</v>
      </c>
      <c r="Z12" s="20">
        <f t="shared" si="3"/>
        <v>-1</v>
      </c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 t="s">
        <v>322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2">
        <v>1935.1</v>
      </c>
      <c r="W14" s="12">
        <v>1889.7</v>
      </c>
      <c r="X14" s="12">
        <v>1768.3</v>
      </c>
      <c r="Y14" s="12">
        <v>2035.2</v>
      </c>
      <c r="Z14" s="12">
        <v>1931</v>
      </c>
    </row>
    <row r="15" spans="1:26">
      <c r="A15" s="2" t="s">
        <v>323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0" t="str">
        <f t="shared" ref="N15:Z15" si="4">IFERROR(N14/B14-1,"")</f>
        <v/>
      </c>
      <c r="O15" s="20" t="str">
        <f t="shared" si="4"/>
        <v/>
      </c>
      <c r="P15" s="20" t="str">
        <f t="shared" si="4"/>
        <v/>
      </c>
      <c r="Q15" s="20" t="str">
        <f t="shared" si="4"/>
        <v/>
      </c>
      <c r="R15" s="20" t="str">
        <f t="shared" si="4"/>
        <v/>
      </c>
      <c r="S15" s="20" t="str">
        <f t="shared" si="4"/>
        <v/>
      </c>
      <c r="T15" s="20" t="str">
        <f t="shared" si="4"/>
        <v/>
      </c>
      <c r="U15" s="20" t="str">
        <f t="shared" si="4"/>
        <v/>
      </c>
      <c r="V15" s="20" t="str">
        <f t="shared" si="4"/>
        <v/>
      </c>
      <c r="W15" s="20" t="str">
        <f t="shared" si="4"/>
        <v/>
      </c>
      <c r="X15" s="20" t="str">
        <f t="shared" si="4"/>
        <v/>
      </c>
      <c r="Y15" s="20" t="str">
        <f t="shared" si="4"/>
        <v/>
      </c>
      <c r="Z15" s="20" t="str">
        <f t="shared" si="4"/>
        <v/>
      </c>
    </row>
    <row r="16" spans="1:26">
      <c r="A16" s="8" t="s">
        <v>324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2">
        <v>505.1</v>
      </c>
      <c r="W16" s="12">
        <v>492.9</v>
      </c>
      <c r="X16" s="12">
        <v>450.4</v>
      </c>
      <c r="Y16" s="12">
        <v>580.20000000000005</v>
      </c>
      <c r="Z16" s="12">
        <v>532.4</v>
      </c>
    </row>
    <row r="17" spans="1:26">
      <c r="A17" s="2" t="s">
        <v>325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0" t="str">
        <f t="shared" ref="N17:Z17" si="5">IFERROR(N16/B16-1,"")</f>
        <v/>
      </c>
      <c r="O17" s="20" t="str">
        <f t="shared" si="5"/>
        <v/>
      </c>
      <c r="P17" s="20" t="str">
        <f t="shared" si="5"/>
        <v/>
      </c>
      <c r="Q17" s="20" t="str">
        <f t="shared" si="5"/>
        <v/>
      </c>
      <c r="R17" s="20" t="str">
        <f t="shared" si="5"/>
        <v/>
      </c>
      <c r="S17" s="20" t="str">
        <f t="shared" si="5"/>
        <v/>
      </c>
      <c r="T17" s="20" t="str">
        <f t="shared" si="5"/>
        <v/>
      </c>
      <c r="U17" s="20" t="str">
        <f t="shared" si="5"/>
        <v/>
      </c>
      <c r="V17" s="20" t="str">
        <f t="shared" si="5"/>
        <v/>
      </c>
      <c r="W17" s="20" t="str">
        <f t="shared" si="5"/>
        <v/>
      </c>
      <c r="X17" s="20" t="str">
        <f t="shared" si="5"/>
        <v/>
      </c>
      <c r="Y17" s="20" t="str">
        <f t="shared" si="5"/>
        <v/>
      </c>
      <c r="Z17" s="20" t="str">
        <f t="shared" si="5"/>
        <v/>
      </c>
    </row>
    <row r="18" spans="1:26">
      <c r="A18" s="8" t="s">
        <v>326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2">
        <v>1430</v>
      </c>
      <c r="W18" s="12">
        <v>1396.8</v>
      </c>
      <c r="X18" s="12">
        <v>1318</v>
      </c>
      <c r="Y18" s="12">
        <v>1455</v>
      </c>
      <c r="Z18" s="12">
        <v>1398.6</v>
      </c>
    </row>
    <row r="19" spans="1:26">
      <c r="A19" s="2" t="s">
        <v>327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0" t="str">
        <f t="shared" ref="N19:Z19" si="6">IFERROR(N18/B18-1,"")</f>
        <v/>
      </c>
      <c r="O19" s="20" t="str">
        <f t="shared" si="6"/>
        <v/>
      </c>
      <c r="P19" s="20" t="str">
        <f t="shared" si="6"/>
        <v/>
      </c>
      <c r="Q19" s="20" t="str">
        <f t="shared" si="6"/>
        <v/>
      </c>
      <c r="R19" s="20" t="str">
        <f t="shared" si="6"/>
        <v/>
      </c>
      <c r="S19" s="20" t="str">
        <f t="shared" si="6"/>
        <v/>
      </c>
      <c r="T19" s="20" t="str">
        <f t="shared" si="6"/>
        <v/>
      </c>
      <c r="U19" s="20" t="str">
        <f t="shared" si="6"/>
        <v/>
      </c>
      <c r="V19" s="20" t="str">
        <f t="shared" si="6"/>
        <v/>
      </c>
      <c r="W19" s="20" t="str">
        <f t="shared" si="6"/>
        <v/>
      </c>
      <c r="X19" s="20" t="str">
        <f t="shared" si="6"/>
        <v/>
      </c>
      <c r="Y19" s="20" t="str">
        <f t="shared" si="6"/>
        <v/>
      </c>
      <c r="Z19" s="20" t="str">
        <f t="shared" si="6"/>
        <v/>
      </c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8" t="s">
        <v>328</v>
      </c>
      <c r="B21" s="12">
        <v>294.89999999999998</v>
      </c>
      <c r="C21" s="12">
        <v>285.3</v>
      </c>
      <c r="D21" s="12">
        <v>274.2</v>
      </c>
      <c r="E21" s="12">
        <v>290</v>
      </c>
      <c r="F21" s="12">
        <v>293.2</v>
      </c>
      <c r="G21" s="12">
        <v>362.5</v>
      </c>
      <c r="H21" s="12">
        <v>276</v>
      </c>
      <c r="I21" s="12">
        <v>266.8</v>
      </c>
      <c r="J21" s="12">
        <v>360.9</v>
      </c>
      <c r="K21" s="12">
        <v>339.8</v>
      </c>
      <c r="L21" s="12">
        <v>309.5</v>
      </c>
      <c r="M21" s="12">
        <v>321.8</v>
      </c>
      <c r="N21" s="12">
        <v>319.5</v>
      </c>
      <c r="O21" s="12">
        <v>293.2</v>
      </c>
      <c r="P21" s="12">
        <v>342.8</v>
      </c>
      <c r="Q21" s="12">
        <v>317.89999999999998</v>
      </c>
      <c r="R21" s="12">
        <v>381.3</v>
      </c>
      <c r="S21" s="12">
        <v>371.2</v>
      </c>
      <c r="T21" s="12">
        <v>433</v>
      </c>
      <c r="U21" s="12">
        <v>374.6</v>
      </c>
      <c r="V21" s="12">
        <v>513.5</v>
      </c>
      <c r="W21" s="12">
        <v>533.29999999999995</v>
      </c>
      <c r="X21" s="12">
        <v>512.5</v>
      </c>
      <c r="Y21" s="12">
        <v>564.9</v>
      </c>
      <c r="Z21" s="2"/>
    </row>
    <row r="22" spans="1:26">
      <c r="A22" s="2" t="s">
        <v>329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0">
        <f t="shared" ref="N22:Z22" si="7">IFERROR(N21/B21-1,"")</f>
        <v>8.3418107833163946E-2</v>
      </c>
      <c r="O22" s="20">
        <f t="shared" si="7"/>
        <v>2.7690150718541862E-2</v>
      </c>
      <c r="P22" s="20">
        <f t="shared" si="7"/>
        <v>0.25018234865062006</v>
      </c>
      <c r="Q22" s="20">
        <f t="shared" si="7"/>
        <v>9.6206896551723986E-2</v>
      </c>
      <c r="R22" s="20">
        <f t="shared" si="7"/>
        <v>0.30047748976807642</v>
      </c>
      <c r="S22" s="20">
        <f t="shared" si="7"/>
        <v>2.4000000000000021E-2</v>
      </c>
      <c r="T22" s="20">
        <f t="shared" si="7"/>
        <v>0.56884057971014501</v>
      </c>
      <c r="U22" s="20">
        <f t="shared" si="7"/>
        <v>0.40404797601199394</v>
      </c>
      <c r="V22" s="20">
        <f t="shared" si="7"/>
        <v>0.42283180936547526</v>
      </c>
      <c r="W22" s="20">
        <f t="shared" si="7"/>
        <v>0.56945261918775736</v>
      </c>
      <c r="X22" s="20">
        <f t="shared" si="7"/>
        <v>0.65589660743134082</v>
      </c>
      <c r="Y22" s="20">
        <f t="shared" si="7"/>
        <v>0.75543816034804223</v>
      </c>
      <c r="Z22" s="20">
        <f t="shared" si="7"/>
        <v>-1</v>
      </c>
    </row>
    <row r="23" spans="1:26">
      <c r="A23" s="8" t="s">
        <v>330</v>
      </c>
      <c r="B23" s="12">
        <v>229.7</v>
      </c>
      <c r="C23" s="12">
        <v>205.1</v>
      </c>
      <c r="D23" s="12">
        <v>221.6</v>
      </c>
      <c r="E23" s="12">
        <v>174.2</v>
      </c>
      <c r="F23" s="12">
        <v>235.8</v>
      </c>
      <c r="G23" s="12">
        <v>289.39999999999998</v>
      </c>
      <c r="H23" s="12">
        <v>207.7</v>
      </c>
      <c r="I23" s="12">
        <v>230.3</v>
      </c>
      <c r="J23" s="12">
        <v>247</v>
      </c>
      <c r="K23" s="12">
        <v>272.3</v>
      </c>
      <c r="L23" s="12">
        <v>289.89999999999998</v>
      </c>
      <c r="M23" s="12">
        <v>249.3</v>
      </c>
      <c r="N23" s="12">
        <v>237.9</v>
      </c>
      <c r="O23" s="12">
        <v>240.8</v>
      </c>
      <c r="P23" s="12">
        <v>259</v>
      </c>
      <c r="Q23" s="12">
        <v>282.89999999999998</v>
      </c>
      <c r="R23" s="12">
        <v>263.89999999999998</v>
      </c>
      <c r="S23" s="12">
        <v>345.8</v>
      </c>
      <c r="T23" s="12">
        <v>310.89999999999998</v>
      </c>
      <c r="U23" s="12">
        <v>312.10000000000002</v>
      </c>
      <c r="V23" s="12">
        <v>392.6</v>
      </c>
      <c r="W23" s="12">
        <v>358.1</v>
      </c>
      <c r="X23" s="12">
        <v>303.5</v>
      </c>
      <c r="Y23" s="12">
        <v>360</v>
      </c>
      <c r="Z23" s="2"/>
    </row>
    <row r="24" spans="1:26">
      <c r="A24" s="2" t="s">
        <v>331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0">
        <f t="shared" ref="N24:Z24" si="8">IFERROR(N23/B23-1,"")</f>
        <v>3.5698737483674359E-2</v>
      </c>
      <c r="O24" s="20">
        <f t="shared" si="8"/>
        <v>0.17406143344709912</v>
      </c>
      <c r="P24" s="20">
        <f t="shared" si="8"/>
        <v>0.16877256317689526</v>
      </c>
      <c r="Q24" s="20">
        <f t="shared" si="8"/>
        <v>0.62399540757749716</v>
      </c>
      <c r="R24" s="20">
        <f t="shared" si="8"/>
        <v>0.11916878710771828</v>
      </c>
      <c r="S24" s="20">
        <f t="shared" si="8"/>
        <v>0.19488597097442995</v>
      </c>
      <c r="T24" s="20">
        <f t="shared" si="8"/>
        <v>0.49687048627828601</v>
      </c>
      <c r="U24" s="20">
        <f t="shared" si="8"/>
        <v>0.35518888406426408</v>
      </c>
      <c r="V24" s="20">
        <f t="shared" si="8"/>
        <v>0.58947368421052637</v>
      </c>
      <c r="W24" s="20">
        <f t="shared" si="8"/>
        <v>0.31509364671318396</v>
      </c>
      <c r="X24" s="20">
        <f t="shared" si="8"/>
        <v>4.6912728527078285E-2</v>
      </c>
      <c r="Y24" s="20">
        <f t="shared" si="8"/>
        <v>0.44404332129963886</v>
      </c>
      <c r="Z24" s="20">
        <f t="shared" si="8"/>
        <v>-1</v>
      </c>
    </row>
    <row r="25" spans="1:26">
      <c r="A25" s="8" t="s">
        <v>332</v>
      </c>
      <c r="B25" s="12">
        <v>49.9</v>
      </c>
      <c r="C25" s="12">
        <v>52.7</v>
      </c>
      <c r="D25" s="12">
        <v>55.3</v>
      </c>
      <c r="E25" s="12">
        <v>97.1</v>
      </c>
      <c r="F25" s="12">
        <v>55.6</v>
      </c>
      <c r="G25" s="12">
        <v>50.6</v>
      </c>
      <c r="H25" s="12">
        <v>83.9</v>
      </c>
      <c r="I25" s="12">
        <v>53.9</v>
      </c>
      <c r="J25" s="12">
        <v>98.2</v>
      </c>
      <c r="K25" s="12">
        <v>47.4</v>
      </c>
      <c r="L25" s="12">
        <v>45.3</v>
      </c>
      <c r="M25" s="12">
        <v>51.4</v>
      </c>
      <c r="N25" s="12">
        <v>61.1</v>
      </c>
      <c r="O25" s="12">
        <v>49.8</v>
      </c>
      <c r="P25" s="12">
        <v>53.2</v>
      </c>
      <c r="Q25" s="12">
        <v>49</v>
      </c>
      <c r="R25" s="12">
        <v>59</v>
      </c>
      <c r="S25" s="12">
        <v>63.9</v>
      </c>
      <c r="T25" s="12">
        <v>58.4</v>
      </c>
      <c r="U25" s="12">
        <v>78.8</v>
      </c>
      <c r="V25" s="12">
        <v>116.6</v>
      </c>
      <c r="W25" s="12">
        <v>76.599999999999994</v>
      </c>
      <c r="X25" s="12">
        <v>57.7</v>
      </c>
      <c r="Y25" s="12">
        <v>91.6</v>
      </c>
      <c r="Z25" s="2"/>
    </row>
    <row r="26" spans="1:26">
      <c r="A26" s="2" t="s">
        <v>333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0">
        <f t="shared" ref="N26:Z26" si="9">IFERROR(N25/B25-1,"")</f>
        <v>0.22444889779559118</v>
      </c>
      <c r="O26" s="20">
        <f t="shared" si="9"/>
        <v>-5.5028462998102601E-2</v>
      </c>
      <c r="P26" s="20">
        <f t="shared" si="9"/>
        <v>-3.7974683544303667E-2</v>
      </c>
      <c r="Q26" s="20">
        <f t="shared" si="9"/>
        <v>-0.4953656024716786</v>
      </c>
      <c r="R26" s="20">
        <f t="shared" si="9"/>
        <v>6.1151079136690711E-2</v>
      </c>
      <c r="S26" s="20">
        <f t="shared" si="9"/>
        <v>0.26284584980237158</v>
      </c>
      <c r="T26" s="20">
        <f t="shared" si="9"/>
        <v>-0.30393325387365921</v>
      </c>
      <c r="U26" s="20">
        <f t="shared" si="9"/>
        <v>0.46196660482374763</v>
      </c>
      <c r="V26" s="20">
        <f t="shared" si="9"/>
        <v>0.18737270875763734</v>
      </c>
      <c r="W26" s="20">
        <f t="shared" si="9"/>
        <v>0.61603375527426163</v>
      </c>
      <c r="X26" s="20">
        <f t="shared" si="9"/>
        <v>0.27373068432671088</v>
      </c>
      <c r="Y26" s="20">
        <f t="shared" si="9"/>
        <v>0.78210116731517498</v>
      </c>
      <c r="Z26" s="20">
        <f t="shared" si="9"/>
        <v>-1</v>
      </c>
    </row>
    <row r="27" spans="1:26">
      <c r="A27" s="8" t="s">
        <v>334</v>
      </c>
      <c r="B27" s="12">
        <v>21.8</v>
      </c>
      <c r="C27" s="12">
        <v>11.3</v>
      </c>
      <c r="D27" s="12">
        <v>23.2</v>
      </c>
      <c r="E27" s="12">
        <v>16.8</v>
      </c>
      <c r="F27" s="12">
        <v>10.3</v>
      </c>
      <c r="G27" s="12">
        <v>16.399999999999999</v>
      </c>
      <c r="H27" s="12">
        <v>12.8</v>
      </c>
      <c r="I27" s="12">
        <v>16.8</v>
      </c>
      <c r="J27" s="12">
        <v>21.8</v>
      </c>
      <c r="K27" s="12">
        <v>18.2</v>
      </c>
      <c r="L27" s="12">
        <v>16.2</v>
      </c>
      <c r="M27" s="12">
        <v>12.7</v>
      </c>
      <c r="N27" s="12">
        <v>15.5</v>
      </c>
      <c r="O27" s="12">
        <v>11.2</v>
      </c>
      <c r="P27" s="12">
        <v>14.9</v>
      </c>
      <c r="Q27" s="12">
        <v>21.4</v>
      </c>
      <c r="R27" s="12">
        <v>18.100000000000001</v>
      </c>
      <c r="S27" s="12">
        <v>13.3</v>
      </c>
      <c r="T27" s="12">
        <v>33.6</v>
      </c>
      <c r="U27" s="12">
        <v>19</v>
      </c>
      <c r="V27" s="12">
        <v>22</v>
      </c>
      <c r="W27" s="12">
        <v>33.799999999999997</v>
      </c>
      <c r="X27" s="12">
        <v>49.4</v>
      </c>
      <c r="Y27" s="12">
        <v>35.799999999999997</v>
      </c>
      <c r="Z27" s="2"/>
    </row>
    <row r="28" spans="1:26">
      <c r="A28" s="2" t="s">
        <v>335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0">
        <f t="shared" ref="N28:Z28" si="10">IFERROR(N27/B27-1,"")</f>
        <v>-0.28899082568807344</v>
      </c>
      <c r="O28" s="20">
        <f t="shared" si="10"/>
        <v>-8.8495575221240186E-3</v>
      </c>
      <c r="P28" s="20">
        <f t="shared" si="10"/>
        <v>-0.35775862068965514</v>
      </c>
      <c r="Q28" s="20">
        <f t="shared" si="10"/>
        <v>0.27380952380952372</v>
      </c>
      <c r="R28" s="20">
        <f t="shared" si="10"/>
        <v>0.75728155339805836</v>
      </c>
      <c r="S28" s="20">
        <f t="shared" si="10"/>
        <v>-0.18902439024390227</v>
      </c>
      <c r="T28" s="20">
        <f t="shared" si="10"/>
        <v>1.625</v>
      </c>
      <c r="U28" s="20">
        <f t="shared" si="10"/>
        <v>0.13095238095238093</v>
      </c>
      <c r="V28" s="20">
        <f t="shared" si="10"/>
        <v>9.1743119266054496E-3</v>
      </c>
      <c r="W28" s="20">
        <f t="shared" si="10"/>
        <v>0.85714285714285698</v>
      </c>
      <c r="X28" s="20">
        <f t="shared" si="10"/>
        <v>2.0493827160493829</v>
      </c>
      <c r="Y28" s="20">
        <f t="shared" si="10"/>
        <v>1.8188976377952755</v>
      </c>
      <c r="Z28" s="20">
        <f t="shared" si="10"/>
        <v>-1</v>
      </c>
    </row>
    <row r="29" spans="1:26">
      <c r="A29" s="8" t="s">
        <v>336</v>
      </c>
      <c r="B29" s="12">
        <v>22.4</v>
      </c>
      <c r="C29" s="12">
        <v>38.299999999999997</v>
      </c>
      <c r="D29" s="12">
        <v>20.399999999999999</v>
      </c>
      <c r="E29" s="12">
        <v>28.4</v>
      </c>
      <c r="F29" s="12">
        <v>15.1</v>
      </c>
      <c r="G29" s="12">
        <v>24</v>
      </c>
      <c r="H29" s="12">
        <v>26.3</v>
      </c>
      <c r="I29" s="12">
        <v>30.4</v>
      </c>
      <c r="J29" s="12">
        <v>25.9</v>
      </c>
      <c r="K29" s="12">
        <v>32.4</v>
      </c>
      <c r="L29" s="12">
        <v>24</v>
      </c>
      <c r="M29" s="12">
        <v>19.399999999999999</v>
      </c>
      <c r="N29" s="12">
        <v>18.399999999999999</v>
      </c>
      <c r="O29" s="12">
        <v>20.9</v>
      </c>
      <c r="P29" s="12">
        <v>25.3</v>
      </c>
      <c r="Q29" s="12">
        <v>43.1</v>
      </c>
      <c r="R29" s="12">
        <v>28.4</v>
      </c>
      <c r="S29" s="12">
        <v>19.2</v>
      </c>
      <c r="T29" s="12">
        <v>28.4</v>
      </c>
      <c r="U29" s="12">
        <v>30</v>
      </c>
      <c r="V29" s="12">
        <v>26.6</v>
      </c>
      <c r="W29" s="12">
        <v>37.5</v>
      </c>
      <c r="X29" s="12">
        <v>19.8</v>
      </c>
      <c r="Y29" s="12">
        <v>33.5</v>
      </c>
      <c r="Z29" s="2"/>
    </row>
    <row r="30" spans="1:26">
      <c r="A30" s="2" t="s">
        <v>337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0">
        <f t="shared" ref="N30:Z30" si="11">IFERROR(N29/B29-1,"")</f>
        <v>-0.1785714285714286</v>
      </c>
      <c r="O30" s="20">
        <f t="shared" si="11"/>
        <v>-0.45430809399477812</v>
      </c>
      <c r="P30" s="20">
        <f t="shared" si="11"/>
        <v>0.24019607843137258</v>
      </c>
      <c r="Q30" s="20">
        <f t="shared" si="11"/>
        <v>0.51760563380281699</v>
      </c>
      <c r="R30" s="20">
        <f t="shared" si="11"/>
        <v>0.88079470198675502</v>
      </c>
      <c r="S30" s="20">
        <f t="shared" si="11"/>
        <v>-0.20000000000000007</v>
      </c>
      <c r="T30" s="20">
        <f t="shared" si="11"/>
        <v>7.9847908745247054E-2</v>
      </c>
      <c r="U30" s="20">
        <f t="shared" si="11"/>
        <v>-1.3157894736842035E-2</v>
      </c>
      <c r="V30" s="20">
        <f t="shared" si="11"/>
        <v>2.7027027027027195E-2</v>
      </c>
      <c r="W30" s="20">
        <f t="shared" si="11"/>
        <v>0.15740740740740744</v>
      </c>
      <c r="X30" s="20">
        <f t="shared" si="11"/>
        <v>-0.17499999999999993</v>
      </c>
      <c r="Y30" s="20">
        <f t="shared" si="11"/>
        <v>0.72680412371134029</v>
      </c>
      <c r="Z30" s="20">
        <f t="shared" si="11"/>
        <v>-1</v>
      </c>
    </row>
    <row r="31" spans="1:26">
      <c r="A31" s="8" t="s">
        <v>338</v>
      </c>
      <c r="B31" s="12">
        <v>36.799999999999997</v>
      </c>
      <c r="C31" s="12">
        <v>25.3</v>
      </c>
      <c r="D31" s="12">
        <v>35.799999999999997</v>
      </c>
      <c r="E31" s="12">
        <v>26.1</v>
      </c>
      <c r="F31" s="12">
        <v>27.8</v>
      </c>
      <c r="G31" s="12">
        <v>29.1</v>
      </c>
      <c r="H31" s="12">
        <v>30.4</v>
      </c>
      <c r="I31" s="12">
        <v>37.9</v>
      </c>
      <c r="J31" s="12">
        <v>34.799999999999997</v>
      </c>
      <c r="K31" s="12">
        <v>33.799999999999997</v>
      </c>
      <c r="L31" s="12">
        <v>36.299999999999997</v>
      </c>
      <c r="M31" s="12">
        <v>35.5</v>
      </c>
      <c r="N31" s="12">
        <v>34.4</v>
      </c>
      <c r="O31" s="12">
        <v>27.2</v>
      </c>
      <c r="P31" s="12">
        <v>36</v>
      </c>
      <c r="Q31" s="12">
        <v>43</v>
      </c>
      <c r="R31" s="12">
        <v>41.6</v>
      </c>
      <c r="S31" s="12">
        <v>42.8</v>
      </c>
      <c r="T31" s="12">
        <v>38.1</v>
      </c>
      <c r="U31" s="12">
        <v>39.5</v>
      </c>
      <c r="V31" s="12">
        <v>42.9</v>
      </c>
      <c r="W31" s="12">
        <v>44.7</v>
      </c>
      <c r="X31" s="12">
        <v>32.200000000000003</v>
      </c>
      <c r="Y31" s="12">
        <v>32.6</v>
      </c>
      <c r="Z31" s="2"/>
    </row>
    <row r="32" spans="1:26">
      <c r="A32" s="2" t="s">
        <v>339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0">
        <f t="shared" ref="N32:Z32" si="12">IFERROR(N31/B31-1,"")</f>
        <v>-6.5217391304347783E-2</v>
      </c>
      <c r="O32" s="20">
        <f t="shared" si="12"/>
        <v>7.5098814229249022E-2</v>
      </c>
      <c r="P32" s="20">
        <f t="shared" si="12"/>
        <v>5.5865921787709993E-3</v>
      </c>
      <c r="Q32" s="20">
        <f t="shared" si="12"/>
        <v>0.64750957854406122</v>
      </c>
      <c r="R32" s="20">
        <f t="shared" si="12"/>
        <v>0.49640287769784175</v>
      </c>
      <c r="S32" s="20">
        <f t="shared" si="12"/>
        <v>0.47079037800687273</v>
      </c>
      <c r="T32" s="20">
        <f t="shared" si="12"/>
        <v>0.25328947368421062</v>
      </c>
      <c r="U32" s="20">
        <f t="shared" si="12"/>
        <v>4.2216358839050061E-2</v>
      </c>
      <c r="V32" s="20">
        <f t="shared" si="12"/>
        <v>0.23275862068965525</v>
      </c>
      <c r="W32" s="20">
        <f t="shared" si="12"/>
        <v>0.32248520710059192</v>
      </c>
      <c r="X32" s="20">
        <f t="shared" si="12"/>
        <v>-0.11294765840220367</v>
      </c>
      <c r="Y32" s="20">
        <f t="shared" si="12"/>
        <v>-8.1690140845070425E-2</v>
      </c>
      <c r="Z32" s="20">
        <f t="shared" si="12"/>
        <v>-1</v>
      </c>
    </row>
    <row r="33" spans="1:26">
      <c r="A33" s="8" t="s">
        <v>340</v>
      </c>
      <c r="B33" s="12">
        <v>41</v>
      </c>
      <c r="C33" s="12">
        <v>50.9</v>
      </c>
      <c r="D33" s="12">
        <v>54.1</v>
      </c>
      <c r="E33" s="12">
        <v>44.9</v>
      </c>
      <c r="F33" s="12">
        <v>35.1</v>
      </c>
      <c r="G33" s="12">
        <v>52.6</v>
      </c>
      <c r="H33" s="12">
        <v>36.799999999999997</v>
      </c>
      <c r="I33" s="12">
        <v>53.6</v>
      </c>
      <c r="J33" s="12">
        <v>71.599999999999994</v>
      </c>
      <c r="K33" s="12">
        <v>32.6</v>
      </c>
      <c r="L33" s="12">
        <v>34.4</v>
      </c>
      <c r="M33" s="12">
        <v>43</v>
      </c>
      <c r="N33" s="12">
        <v>55.2</v>
      </c>
      <c r="O33" s="12">
        <v>45.6</v>
      </c>
      <c r="P33" s="12">
        <v>50.8</v>
      </c>
      <c r="Q33" s="12">
        <v>43.4</v>
      </c>
      <c r="R33" s="12">
        <v>42.5</v>
      </c>
      <c r="S33" s="12">
        <v>59.3</v>
      </c>
      <c r="T33" s="12">
        <v>40.4</v>
      </c>
      <c r="U33" s="12">
        <v>59.4</v>
      </c>
      <c r="V33" s="12">
        <v>61.8</v>
      </c>
      <c r="W33" s="12">
        <v>76.900000000000006</v>
      </c>
      <c r="X33" s="12">
        <v>55.9</v>
      </c>
      <c r="Y33" s="12">
        <v>85.9</v>
      </c>
      <c r="Z33" s="2"/>
    </row>
    <row r="34" spans="1:26">
      <c r="A34" s="2" t="s">
        <v>341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0">
        <f t="shared" ref="N34:Z34" si="13">IFERROR(N33/B33-1,"")</f>
        <v>0.34634146341463423</v>
      </c>
      <c r="O34" s="20">
        <f t="shared" si="13"/>
        <v>-0.10412573673870329</v>
      </c>
      <c r="P34" s="20">
        <f t="shared" si="13"/>
        <v>-6.0998151571164616E-2</v>
      </c>
      <c r="Q34" s="20">
        <f t="shared" si="13"/>
        <v>-3.3407572383073458E-2</v>
      </c>
      <c r="R34" s="20">
        <f t="shared" si="13"/>
        <v>0.21082621082621067</v>
      </c>
      <c r="S34" s="20">
        <f t="shared" si="13"/>
        <v>0.12737642585551323</v>
      </c>
      <c r="T34" s="20">
        <f t="shared" si="13"/>
        <v>9.7826086956521729E-2</v>
      </c>
      <c r="U34" s="20">
        <f t="shared" si="13"/>
        <v>0.10820895522388052</v>
      </c>
      <c r="V34" s="20">
        <f t="shared" si="13"/>
        <v>-0.13687150837988826</v>
      </c>
      <c r="W34" s="20">
        <f t="shared" si="13"/>
        <v>1.3588957055214723</v>
      </c>
      <c r="X34" s="20">
        <f t="shared" si="13"/>
        <v>0.625</v>
      </c>
      <c r="Y34" s="20">
        <f t="shared" si="13"/>
        <v>0.99767441860465134</v>
      </c>
      <c r="Z34" s="20">
        <f t="shared" si="13"/>
        <v>-1</v>
      </c>
    </row>
    <row r="35" spans="1:26">
      <c r="A35" s="8" t="s">
        <v>342</v>
      </c>
      <c r="B35" s="12">
        <v>52.2</v>
      </c>
      <c r="C35" s="12">
        <v>26.1</v>
      </c>
      <c r="D35" s="12">
        <v>59.6</v>
      </c>
      <c r="E35" s="12">
        <v>42</v>
      </c>
      <c r="F35" s="12">
        <v>40.6</v>
      </c>
      <c r="G35" s="12">
        <v>48.5</v>
      </c>
      <c r="H35" s="12">
        <v>43.3</v>
      </c>
      <c r="I35" s="12">
        <v>32.4</v>
      </c>
      <c r="J35" s="12">
        <v>53.4</v>
      </c>
      <c r="K35" s="12">
        <v>48.3</v>
      </c>
      <c r="L35" s="12">
        <v>48.2</v>
      </c>
      <c r="M35" s="12">
        <v>58.6</v>
      </c>
      <c r="N35" s="12">
        <v>40.299999999999997</v>
      </c>
      <c r="O35" s="12">
        <v>33.299999999999997</v>
      </c>
      <c r="P35" s="12">
        <v>53.7</v>
      </c>
      <c r="Q35" s="12">
        <v>39.6</v>
      </c>
      <c r="R35" s="12">
        <v>34.9</v>
      </c>
      <c r="S35" s="12">
        <v>39.200000000000003</v>
      </c>
      <c r="T35" s="12">
        <v>52.2</v>
      </c>
      <c r="U35" s="12">
        <v>57.7</v>
      </c>
      <c r="V35" s="12">
        <v>73.8</v>
      </c>
      <c r="W35" s="12">
        <v>78</v>
      </c>
      <c r="X35" s="12">
        <v>51.3</v>
      </c>
      <c r="Y35" s="12">
        <v>97.3</v>
      </c>
      <c r="Z35" s="2"/>
    </row>
    <row r="36" spans="1:26">
      <c r="A36" s="2" t="s">
        <v>343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0">
        <f t="shared" ref="N36:Z36" si="14">IFERROR(N35/B35-1,"")</f>
        <v>-0.22796934865900398</v>
      </c>
      <c r="O36" s="20">
        <f t="shared" si="14"/>
        <v>0.27586206896551713</v>
      </c>
      <c r="P36" s="20">
        <f t="shared" si="14"/>
        <v>-9.8993288590603967E-2</v>
      </c>
      <c r="Q36" s="20">
        <f t="shared" si="14"/>
        <v>-5.7142857142857162E-2</v>
      </c>
      <c r="R36" s="20">
        <f t="shared" si="14"/>
        <v>-0.14039408866995085</v>
      </c>
      <c r="S36" s="20">
        <f t="shared" si="14"/>
        <v>-0.19175257731958761</v>
      </c>
      <c r="T36" s="20">
        <f t="shared" si="14"/>
        <v>0.20554272517321026</v>
      </c>
      <c r="U36" s="20">
        <f t="shared" si="14"/>
        <v>0.78086419753086433</v>
      </c>
      <c r="V36" s="20">
        <f t="shared" si="14"/>
        <v>0.3820224719101124</v>
      </c>
      <c r="W36" s="20">
        <f t="shared" si="14"/>
        <v>0.61490683229813681</v>
      </c>
      <c r="X36" s="20">
        <f t="shared" si="14"/>
        <v>6.4315352697095207E-2</v>
      </c>
      <c r="Y36" s="20">
        <f t="shared" si="14"/>
        <v>0.66040955631399312</v>
      </c>
      <c r="Z36" s="20">
        <f t="shared" si="14"/>
        <v>-1</v>
      </c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8" t="s">
        <v>344</v>
      </c>
      <c r="B38" s="2"/>
      <c r="C38" s="12">
        <v>819.7</v>
      </c>
      <c r="D38" s="12">
        <v>831.6</v>
      </c>
      <c r="E38" s="12">
        <v>852.8</v>
      </c>
      <c r="F38" s="12">
        <v>781.9</v>
      </c>
      <c r="G38" s="12">
        <v>988.7</v>
      </c>
      <c r="H38" s="12">
        <v>666.6</v>
      </c>
      <c r="I38" s="12">
        <v>877</v>
      </c>
      <c r="J38" s="12">
        <v>969.1</v>
      </c>
      <c r="K38" s="12">
        <v>824.4</v>
      </c>
      <c r="L38" s="12">
        <v>874.8</v>
      </c>
      <c r="M38" s="12">
        <v>893.6</v>
      </c>
      <c r="N38" s="12">
        <v>975.8</v>
      </c>
      <c r="O38" s="12">
        <v>803.5</v>
      </c>
      <c r="P38" s="12">
        <v>843.7</v>
      </c>
      <c r="Q38" s="12">
        <v>959.1</v>
      </c>
      <c r="R38" s="12">
        <v>898.4</v>
      </c>
      <c r="S38" s="12">
        <v>1061.0999999999999</v>
      </c>
      <c r="T38" s="12">
        <v>849.7</v>
      </c>
      <c r="U38" s="12">
        <v>849.4</v>
      </c>
      <c r="V38" s="12">
        <v>1089.9000000000001</v>
      </c>
      <c r="W38" s="12">
        <v>1055.3</v>
      </c>
      <c r="X38" s="12">
        <v>983.6</v>
      </c>
      <c r="Y38" s="12">
        <v>1015.5</v>
      </c>
      <c r="Z38" s="12">
        <v>1160.0999999999999</v>
      </c>
    </row>
    <row r="39" spans="1:26">
      <c r="A39" s="2" t="s">
        <v>345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0" t="str">
        <f t="shared" ref="N39:Z39" si="15">IFERROR(N38/B38-1,"")</f>
        <v/>
      </c>
      <c r="O39" s="20">
        <f t="shared" si="15"/>
        <v>-1.976332804684644E-2</v>
      </c>
      <c r="P39" s="20">
        <f t="shared" si="15"/>
        <v>1.4550264550264647E-2</v>
      </c>
      <c r="Q39" s="20">
        <f t="shared" si="15"/>
        <v>0.12464821763602263</v>
      </c>
      <c r="R39" s="20">
        <f t="shared" si="15"/>
        <v>0.14899603529863148</v>
      </c>
      <c r="S39" s="20">
        <f t="shared" si="15"/>
        <v>7.3227470415697216E-2</v>
      </c>
      <c r="T39" s="20">
        <f t="shared" si="15"/>
        <v>0.27467746774677471</v>
      </c>
      <c r="U39" s="20">
        <f t="shared" si="15"/>
        <v>-3.1470923603192702E-2</v>
      </c>
      <c r="V39" s="20">
        <f t="shared" si="15"/>
        <v>0.12465173872665369</v>
      </c>
      <c r="W39" s="20">
        <f t="shared" si="15"/>
        <v>0.28008248423095572</v>
      </c>
      <c r="X39" s="20">
        <f t="shared" si="15"/>
        <v>0.12437128486511217</v>
      </c>
      <c r="Y39" s="20">
        <f t="shared" si="15"/>
        <v>0.13641450313339298</v>
      </c>
      <c r="Z39" s="20">
        <f t="shared" si="15"/>
        <v>0.18887067021930726</v>
      </c>
    </row>
    <row r="40" spans="1:26">
      <c r="A40" s="8" t="s">
        <v>346</v>
      </c>
      <c r="B40" s="2"/>
      <c r="C40" s="12">
        <v>3429.3</v>
      </c>
      <c r="D40" s="12">
        <v>3970.3</v>
      </c>
      <c r="E40" s="12">
        <v>4076</v>
      </c>
      <c r="F40" s="12">
        <v>3743.4</v>
      </c>
      <c r="G40" s="12">
        <v>4502.6000000000004</v>
      </c>
      <c r="H40" s="12">
        <v>2879</v>
      </c>
      <c r="I40" s="12">
        <v>3962.5</v>
      </c>
      <c r="J40" s="12">
        <v>4984.1000000000004</v>
      </c>
      <c r="K40" s="12">
        <v>3735.3</v>
      </c>
      <c r="L40" s="12">
        <v>3319.8</v>
      </c>
      <c r="M40" s="12">
        <v>3877.8</v>
      </c>
      <c r="N40" s="12">
        <v>3509.4</v>
      </c>
      <c r="O40" s="12">
        <v>3494.9</v>
      </c>
      <c r="P40" s="12">
        <v>3844</v>
      </c>
      <c r="Q40" s="12">
        <v>3635.4</v>
      </c>
      <c r="R40" s="12">
        <v>3792.2</v>
      </c>
      <c r="S40" s="12">
        <v>4436.8</v>
      </c>
      <c r="T40" s="12">
        <v>3156.7</v>
      </c>
      <c r="U40" s="12">
        <v>3290.9</v>
      </c>
      <c r="V40" s="12">
        <v>5259</v>
      </c>
      <c r="W40" s="12">
        <v>3932.1</v>
      </c>
      <c r="X40" s="12">
        <v>3654.5</v>
      </c>
      <c r="Y40" s="12">
        <v>4601.3999999999996</v>
      </c>
      <c r="Z40" s="12">
        <v>4939.5</v>
      </c>
    </row>
    <row r="41" spans="1:26">
      <c r="A41" s="2" t="s">
        <v>347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0" t="str">
        <f t="shared" ref="N41:Z41" si="16">IFERROR(N40/B40-1,"")</f>
        <v/>
      </c>
      <c r="O41" s="20">
        <f t="shared" si="16"/>
        <v>1.9129268363806018E-2</v>
      </c>
      <c r="P41" s="20">
        <f t="shared" si="16"/>
        <v>-3.1811198146235897E-2</v>
      </c>
      <c r="Q41" s="20">
        <f t="shared" si="16"/>
        <v>-0.10809617271835126</v>
      </c>
      <c r="R41" s="20">
        <f t="shared" si="16"/>
        <v>1.3036277181172062E-2</v>
      </c>
      <c r="S41" s="20">
        <f t="shared" si="16"/>
        <v>-1.4613778705636737E-2</v>
      </c>
      <c r="T41" s="20">
        <f t="shared" si="16"/>
        <v>9.6457103160819679E-2</v>
      </c>
      <c r="U41" s="20">
        <f t="shared" si="16"/>
        <v>-0.16948895899053629</v>
      </c>
      <c r="V41" s="20">
        <f t="shared" si="16"/>
        <v>5.5155394153407755E-2</v>
      </c>
      <c r="W41" s="20">
        <f t="shared" si="16"/>
        <v>5.2686531202313036E-2</v>
      </c>
      <c r="X41" s="20">
        <f t="shared" si="16"/>
        <v>0.10081932646544955</v>
      </c>
      <c r="Y41" s="20">
        <f t="shared" si="16"/>
        <v>0.18660064985300928</v>
      </c>
      <c r="Z41" s="20">
        <f t="shared" si="16"/>
        <v>0.40750555650538556</v>
      </c>
    </row>
    <row r="42" spans="1:26">
      <c r="A42" s="8" t="s">
        <v>348</v>
      </c>
      <c r="B42" s="2"/>
      <c r="C42" s="12">
        <v>12.3</v>
      </c>
      <c r="D42" s="12">
        <v>13.4</v>
      </c>
      <c r="E42" s="12">
        <v>7.1</v>
      </c>
      <c r="F42" s="12">
        <v>15.9</v>
      </c>
      <c r="G42" s="12">
        <v>15.3</v>
      </c>
      <c r="H42" s="12">
        <v>8.8000000000000007</v>
      </c>
      <c r="I42" s="12">
        <v>18.3</v>
      </c>
      <c r="J42" s="12">
        <v>13.6</v>
      </c>
      <c r="K42" s="12">
        <v>9.9</v>
      </c>
      <c r="L42" s="12">
        <v>5.0999999999999996</v>
      </c>
      <c r="M42" s="12">
        <v>11.3</v>
      </c>
      <c r="N42" s="12">
        <v>20.8</v>
      </c>
      <c r="O42" s="12">
        <v>10.4</v>
      </c>
      <c r="P42" s="12">
        <v>11.6</v>
      </c>
      <c r="Q42" s="12">
        <v>7.2</v>
      </c>
      <c r="R42" s="12">
        <v>4.5999999999999996</v>
      </c>
      <c r="S42" s="12">
        <v>14.1</v>
      </c>
      <c r="T42" s="12">
        <v>5.5</v>
      </c>
      <c r="U42" s="12">
        <v>8.9</v>
      </c>
      <c r="V42" s="12">
        <v>11.4</v>
      </c>
      <c r="W42" s="12">
        <v>13.3</v>
      </c>
      <c r="X42" s="12">
        <v>9.6999999999999993</v>
      </c>
      <c r="Y42" s="12">
        <v>9.5</v>
      </c>
      <c r="Z42" s="12">
        <v>7.2</v>
      </c>
    </row>
    <row r="43" spans="1:26">
      <c r="A43" s="2" t="s">
        <v>349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0" t="str">
        <f t="shared" ref="N43:Z43" si="17">IFERROR(N42/B42-1,"")</f>
        <v/>
      </c>
      <c r="O43" s="20">
        <f t="shared" si="17"/>
        <v>-0.15447154471544722</v>
      </c>
      <c r="P43" s="20">
        <f t="shared" si="17"/>
        <v>-0.13432835820895528</v>
      </c>
      <c r="Q43" s="20">
        <f t="shared" si="17"/>
        <v>1.4084507042253502E-2</v>
      </c>
      <c r="R43" s="20">
        <f t="shared" si="17"/>
        <v>-0.71069182389937113</v>
      </c>
      <c r="S43" s="20">
        <f t="shared" si="17"/>
        <v>-7.8431372549019662E-2</v>
      </c>
      <c r="T43" s="20">
        <f t="shared" si="17"/>
        <v>-0.375</v>
      </c>
      <c r="U43" s="20">
        <f t="shared" si="17"/>
        <v>-0.51366120218579236</v>
      </c>
      <c r="V43" s="20">
        <f t="shared" si="17"/>
        <v>-0.16176470588235292</v>
      </c>
      <c r="W43" s="20">
        <f t="shared" si="17"/>
        <v>0.34343434343434343</v>
      </c>
      <c r="X43" s="20">
        <f t="shared" si="17"/>
        <v>0.90196078431372539</v>
      </c>
      <c r="Y43" s="20">
        <f t="shared" si="17"/>
        <v>-0.15929203539823011</v>
      </c>
      <c r="Z43" s="20">
        <f t="shared" si="17"/>
        <v>-0.65384615384615385</v>
      </c>
    </row>
  </sheetData>
  <phoneticPr fontId="2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4"/>
  <sheetViews>
    <sheetView workbookViewId="0"/>
  </sheetViews>
  <sheetFormatPr baseColWidth="10" defaultColWidth="8.83203125" defaultRowHeight="14"/>
  <cols>
    <col min="1" max="1" width="7" customWidth="1"/>
    <col min="2" max="2" width="16" customWidth="1"/>
    <col min="3" max="3" width="28" customWidth="1"/>
    <col min="4" max="4" width="9" customWidth="1"/>
    <col min="5" max="5" width="11" customWidth="1"/>
    <col min="6" max="6" width="9" customWidth="1"/>
    <col min="7" max="8" width="8" customWidth="1"/>
    <col min="9" max="10" width="10" customWidth="1"/>
    <col min="11" max="11" width="15" customWidth="1"/>
    <col min="12" max="13" width="8" customWidth="1"/>
    <col min="14" max="14" width="9" customWidth="1"/>
    <col min="15" max="15" width="11" customWidth="1"/>
  </cols>
  <sheetData>
    <row r="1" spans="1:15" ht="16">
      <c r="A1" s="63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3" t="s">
        <v>351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5" t="s">
        <v>352</v>
      </c>
      <c r="B4" s="5" t="s">
        <v>353</v>
      </c>
      <c r="C4" s="5" t="s">
        <v>354</v>
      </c>
      <c r="D4" s="5" t="s">
        <v>355</v>
      </c>
      <c r="E4" s="5" t="s">
        <v>356</v>
      </c>
      <c r="F4" s="5" t="s">
        <v>48</v>
      </c>
      <c r="G4" s="5" t="s">
        <v>357</v>
      </c>
      <c r="H4" s="5" t="s">
        <v>358</v>
      </c>
      <c r="I4" s="5" t="s">
        <v>359</v>
      </c>
      <c r="J4" s="5" t="s">
        <v>225</v>
      </c>
      <c r="K4" s="5" t="s">
        <v>360</v>
      </c>
      <c r="L4" s="5" t="s">
        <v>197</v>
      </c>
      <c r="M4" s="5" t="s">
        <v>361</v>
      </c>
      <c r="N4" s="5" t="s">
        <v>362</v>
      </c>
      <c r="O4" s="5" t="s">
        <v>363</v>
      </c>
    </row>
    <row r="5" spans="1:15">
      <c r="A5" s="64" t="s">
        <v>364</v>
      </c>
      <c r="B5" s="64" t="s">
        <v>365</v>
      </c>
      <c r="C5" s="64" t="s">
        <v>366</v>
      </c>
      <c r="D5" s="80">
        <v>67890</v>
      </c>
      <c r="E5" s="80">
        <v>43023</v>
      </c>
      <c r="F5" s="80">
        <v>10573</v>
      </c>
      <c r="G5" s="80">
        <v>2609</v>
      </c>
      <c r="H5" s="80">
        <v>2101</v>
      </c>
      <c r="I5" s="81">
        <v>3353.99</v>
      </c>
      <c r="J5" s="81">
        <v>33498.9</v>
      </c>
      <c r="K5" s="82">
        <v>20.2</v>
      </c>
      <c r="L5" s="82">
        <v>2.0299999999999998</v>
      </c>
      <c r="M5" s="83">
        <v>24.7</v>
      </c>
      <c r="N5" s="83">
        <v>9.9</v>
      </c>
      <c r="O5" s="83">
        <v>25.5</v>
      </c>
    </row>
    <row r="6" spans="1:15">
      <c r="A6" s="2" t="s">
        <v>367</v>
      </c>
      <c r="B6" s="2" t="s">
        <v>368</v>
      </c>
      <c r="C6" s="2" t="s">
        <v>369</v>
      </c>
      <c r="D6" s="84">
        <v>5310</v>
      </c>
      <c r="E6" s="84">
        <v>3548</v>
      </c>
      <c r="F6" s="84">
        <v>2006</v>
      </c>
      <c r="G6" s="84">
        <v>315</v>
      </c>
      <c r="H6" s="84">
        <v>215</v>
      </c>
      <c r="I6" s="85">
        <v>321.91000000000003</v>
      </c>
      <c r="J6" s="85">
        <v>2297.3000000000002</v>
      </c>
      <c r="K6" s="86">
        <v>16.5</v>
      </c>
      <c r="L6" s="86">
        <v>2.31</v>
      </c>
      <c r="M6" s="87">
        <v>15.7</v>
      </c>
      <c r="N6" s="87">
        <v>14</v>
      </c>
      <c r="O6" s="87">
        <v>27</v>
      </c>
    </row>
    <row r="7" spans="1:15">
      <c r="A7" s="2" t="s">
        <v>370</v>
      </c>
      <c r="B7" s="2" t="s">
        <v>371</v>
      </c>
      <c r="C7" s="2" t="s">
        <v>372</v>
      </c>
      <c r="D7" s="84">
        <v>6149</v>
      </c>
      <c r="E7" s="84">
        <v>6947</v>
      </c>
      <c r="F7" s="84">
        <v>3168</v>
      </c>
      <c r="G7" s="84">
        <v>477</v>
      </c>
      <c r="H7" s="84">
        <v>513</v>
      </c>
      <c r="I7" s="85">
        <v>457.74</v>
      </c>
      <c r="J7" s="85">
        <v>2332.9</v>
      </c>
      <c r="K7" s="86">
        <v>13.4</v>
      </c>
      <c r="L7" s="86">
        <v>2.64</v>
      </c>
      <c r="M7" s="87">
        <v>15.1</v>
      </c>
      <c r="N7" s="87">
        <v>19.3</v>
      </c>
      <c r="O7" s="87">
        <v>31.8</v>
      </c>
    </row>
    <row r="8" spans="1:15">
      <c r="A8" s="2" t="s">
        <v>373</v>
      </c>
      <c r="B8" s="2" t="s">
        <v>374</v>
      </c>
      <c r="C8" s="2" t="s">
        <v>375</v>
      </c>
      <c r="D8" s="84">
        <v>76280</v>
      </c>
      <c r="E8" s="84">
        <v>184998</v>
      </c>
      <c r="F8" s="84">
        <v>14505</v>
      </c>
      <c r="G8" s="84">
        <v>7778</v>
      </c>
      <c r="H8" s="84">
        <v>5692</v>
      </c>
      <c r="I8" s="85">
        <v>2346.85</v>
      </c>
      <c r="J8" s="85">
        <v>14313.9</v>
      </c>
      <c r="K8" s="86">
        <v>32.5</v>
      </c>
      <c r="L8" s="86">
        <v>5.33</v>
      </c>
      <c r="M8" s="87">
        <v>53.6</v>
      </c>
      <c r="N8" s="87">
        <v>16.399999999999999</v>
      </c>
      <c r="O8" s="87">
        <v>24</v>
      </c>
    </row>
    <row r="9" spans="1:15">
      <c r="A9" s="2" t="s">
        <v>376</v>
      </c>
      <c r="B9" s="2" t="s">
        <v>377</v>
      </c>
      <c r="C9" s="2" t="s">
        <v>378</v>
      </c>
      <c r="D9" s="84">
        <v>6037</v>
      </c>
      <c r="E9" s="84">
        <v>11877</v>
      </c>
      <c r="F9" s="84">
        <v>9028</v>
      </c>
      <c r="G9" s="84">
        <v>920</v>
      </c>
      <c r="H9" s="84">
        <v>584</v>
      </c>
      <c r="I9" s="85">
        <v>297.12</v>
      </c>
      <c r="J9" s="85">
        <v>4251.1000000000004</v>
      </c>
      <c r="K9" s="86">
        <v>20.3</v>
      </c>
      <c r="L9" s="86">
        <v>1.42</v>
      </c>
      <c r="M9" s="87">
        <v>10.199999999999999</v>
      </c>
      <c r="N9" s="87">
        <v>5.8</v>
      </c>
      <c r="O9" s="87">
        <v>17.7</v>
      </c>
    </row>
    <row r="10" spans="1:15">
      <c r="A10" s="2" t="s">
        <v>379</v>
      </c>
      <c r="B10" s="2" t="s">
        <v>380</v>
      </c>
      <c r="C10" s="2" t="s">
        <v>375</v>
      </c>
      <c r="D10" s="84">
        <v>5848</v>
      </c>
      <c r="E10" s="84">
        <v>54571</v>
      </c>
      <c r="F10" s="84">
        <v>9783</v>
      </c>
      <c r="G10" s="84">
        <v>2301</v>
      </c>
      <c r="H10" s="84">
        <v>2091</v>
      </c>
      <c r="I10" s="85">
        <v>224.07</v>
      </c>
      <c r="J10" s="85">
        <v>1998.4</v>
      </c>
      <c r="K10" s="86">
        <v>26.1</v>
      </c>
      <c r="L10" s="86">
        <v>2.93</v>
      </c>
      <c r="M10" s="87">
        <v>23.5</v>
      </c>
      <c r="N10" s="87">
        <v>11.1</v>
      </c>
      <c r="O10" s="87">
        <v>14</v>
      </c>
    </row>
    <row r="11" spans="1:15">
      <c r="A11" s="2" t="s">
        <v>381</v>
      </c>
      <c r="B11" s="2" t="s">
        <v>382</v>
      </c>
      <c r="C11" s="2" t="s">
        <v>383</v>
      </c>
      <c r="D11" s="84">
        <v>4503</v>
      </c>
      <c r="E11" s="84">
        <v>11679</v>
      </c>
      <c r="F11" s="84">
        <v>5927</v>
      </c>
      <c r="G11" s="84">
        <v>618</v>
      </c>
      <c r="H11" s="84">
        <v>476</v>
      </c>
      <c r="I11" s="85">
        <v>183.7</v>
      </c>
      <c r="J11" s="85">
        <v>1864.3</v>
      </c>
      <c r="K11" s="86">
        <v>24.5</v>
      </c>
      <c r="L11" s="86">
        <v>2.42</v>
      </c>
      <c r="M11" s="87">
        <v>10.4</v>
      </c>
      <c r="N11" s="87">
        <v>9.6999999999999993</v>
      </c>
      <c r="O11" s="87">
        <v>9.3000000000000007</v>
      </c>
    </row>
    <row r="12" spans="1:15">
      <c r="A12" s="2" t="s">
        <v>384</v>
      </c>
      <c r="B12" s="2" t="s">
        <v>385</v>
      </c>
      <c r="C12" s="2" t="s">
        <v>386</v>
      </c>
      <c r="D12" s="84">
        <v>4530</v>
      </c>
      <c r="E12" s="84">
        <v>5404</v>
      </c>
      <c r="F12" s="84">
        <v>3481</v>
      </c>
      <c r="G12" s="84">
        <v>338</v>
      </c>
      <c r="H12" s="84">
        <v>253</v>
      </c>
      <c r="I12" s="85">
        <v>217.87</v>
      </c>
      <c r="J12" s="85">
        <v>2320.4</v>
      </c>
      <c r="K12" s="86">
        <v>20.8</v>
      </c>
      <c r="L12" s="86">
        <v>1.95</v>
      </c>
      <c r="M12" s="87">
        <v>9.6999999999999993</v>
      </c>
      <c r="N12" s="87">
        <v>8.8000000000000007</v>
      </c>
      <c r="O12" s="87">
        <v>13</v>
      </c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8" t="s">
        <v>387</v>
      </c>
      <c r="B14" s="2"/>
      <c r="C14" s="2"/>
      <c r="D14" s="2"/>
      <c r="E14" s="2"/>
      <c r="F14" s="2"/>
      <c r="G14" s="2"/>
      <c r="H14" s="2"/>
      <c r="I14" s="2"/>
      <c r="J14" s="2"/>
      <c r="K14" s="65">
        <v>20.8</v>
      </c>
      <c r="L14" s="65">
        <v>2.42</v>
      </c>
      <c r="M14" s="66">
        <v>15.1</v>
      </c>
      <c r="N14" s="66">
        <v>11.1</v>
      </c>
      <c r="O14" s="66">
        <v>17.7</v>
      </c>
    </row>
  </sheetData>
  <phoneticPr fontId="2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tabSelected="1" workbookViewId="0">
      <selection activeCell="B40" sqref="B40"/>
    </sheetView>
  </sheetViews>
  <sheetFormatPr baseColWidth="10" defaultColWidth="8.83203125" defaultRowHeight="14"/>
  <cols>
    <col min="1" max="1" width="22" customWidth="1"/>
    <col min="2" max="2" width="13" customWidth="1"/>
    <col min="3" max="4" width="14" customWidth="1"/>
    <col min="5" max="5" width="12" customWidth="1"/>
  </cols>
  <sheetData>
    <row r="1" spans="1:6" ht="16">
      <c r="A1" s="63" t="s">
        <v>388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11" t="s">
        <v>389</v>
      </c>
      <c r="B3" s="11" t="s">
        <v>390</v>
      </c>
      <c r="C3" s="11" t="s">
        <v>391</v>
      </c>
      <c r="D3" s="11" t="s">
        <v>392</v>
      </c>
      <c r="E3" s="11" t="s">
        <v>393</v>
      </c>
      <c r="F3" s="11" t="s">
        <v>394</v>
      </c>
    </row>
    <row r="4" spans="1:6">
      <c r="A4" s="8" t="s">
        <v>395</v>
      </c>
      <c r="B4" s="67">
        <f>FS!F4+FS!G4+FS!H4+FS!E4</f>
        <v>8425.4</v>
      </c>
      <c r="C4" s="67">
        <f>FS!I4+FS!J4+FS!K4+FS!L4</f>
        <v>10814.372570620306</v>
      </c>
      <c r="D4" s="67">
        <f>FS!N4+FS!O4+FS!P4+FS!M4</f>
        <v>11580.043438397641</v>
      </c>
      <c r="E4" s="68">
        <v>10000</v>
      </c>
      <c r="F4" s="20">
        <f>C4/E4-1</f>
        <v>8.1437257062030532E-2</v>
      </c>
    </row>
    <row r="5" spans="1:6">
      <c r="A5" s="8" t="s">
        <v>396</v>
      </c>
      <c r="B5" s="67">
        <f>FS!F9+FS!G9+FS!H9+FS!E9</f>
        <v>1905.5</v>
      </c>
      <c r="C5" s="67">
        <f>FS!I9+FS!J9+FS!K9+FS!L9</f>
        <v>2956.3722993377855</v>
      </c>
      <c r="D5" s="67">
        <f>FS!N9+FS!O9+FS!P9+FS!M9</f>
        <v>3126.6117283673625</v>
      </c>
      <c r="E5" s="68">
        <v>2190</v>
      </c>
      <c r="F5" s="20">
        <f>C5/E5-1</f>
        <v>0.34994168919533597</v>
      </c>
    </row>
    <row r="6" spans="1:6">
      <c r="A6" s="8" t="s">
        <v>361</v>
      </c>
      <c r="B6" s="23">
        <f>B5/B4*100</f>
        <v>22.616136919315405</v>
      </c>
      <c r="C6" s="23">
        <f>C5/C4*100</f>
        <v>27.3374371007842</v>
      </c>
      <c r="D6" s="23">
        <f>D5/D4*100</f>
        <v>26.999999999999996</v>
      </c>
      <c r="E6" s="69">
        <v>21.9</v>
      </c>
      <c r="F6" s="20">
        <f>C6/E6-1</f>
        <v>0.24828479912256629</v>
      </c>
    </row>
    <row r="7" spans="1:6">
      <c r="A7" s="8" t="s">
        <v>397</v>
      </c>
      <c r="B7" s="67">
        <f>FS!F18+FS!G18+FS!H18+FS!E18</f>
        <v>1673</v>
      </c>
      <c r="C7" s="67">
        <f>FS!I18+FS!J18+FS!K18+FS!L18</f>
        <v>2254.5118048291656</v>
      </c>
      <c r="D7" s="67">
        <f>FS!N18+FS!O18+FS!P18+FS!M18</f>
        <v>2689.855336031726</v>
      </c>
      <c r="E7" s="68">
        <v>1700</v>
      </c>
      <c r="F7" s="20">
        <f>C7/E7-1</f>
        <v>0.32618341460539146</v>
      </c>
    </row>
    <row r="8" spans="1:6">
      <c r="A8" s="8" t="s">
        <v>80</v>
      </c>
      <c r="B8" s="57">
        <f>FS!F22+FS!G22+FS!H22+FS!E22</f>
        <v>2634.0188862696027</v>
      </c>
      <c r="C8" s="57">
        <f>FS!J22+FS!K22+FS!L22+FS!I22</f>
        <v>3587.918495673387</v>
      </c>
      <c r="D8" s="57">
        <f>FS!N22+FS!O22+FS!P22+FS!M22</f>
        <v>4333.787218430657</v>
      </c>
      <c r="E8" s="70">
        <v>2692.46</v>
      </c>
      <c r="F8" s="20">
        <f>C8/E8-1</f>
        <v>0.3325800552927014</v>
      </c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35"/>
      <c r="B11" s="2"/>
      <c r="C11" s="2"/>
      <c r="D11" s="2"/>
      <c r="E11" s="2"/>
      <c r="F11" s="2"/>
    </row>
    <row r="12" spans="1:6">
      <c r="A12" s="2" t="s">
        <v>535</v>
      </c>
      <c r="B12" s="2" t="s">
        <v>534</v>
      </c>
      <c r="C12" s="43" t="s">
        <v>533</v>
      </c>
      <c r="D12" s="2" t="s">
        <v>532</v>
      </c>
      <c r="E12" s="2"/>
      <c r="F12" s="2"/>
    </row>
    <row r="13" spans="1:6">
      <c r="A13" s="2" t="s">
        <v>529</v>
      </c>
      <c r="B13" s="80">
        <f>4000*25</f>
        <v>100000</v>
      </c>
      <c r="C13" s="89">
        <f>0.333333333333333%*100</f>
        <v>0.33333333333333298</v>
      </c>
      <c r="D13" s="2" t="s">
        <v>539</v>
      </c>
      <c r="E13" s="2"/>
      <c r="F13" s="2"/>
    </row>
    <row r="14" spans="1:6">
      <c r="A14" s="2" t="s">
        <v>528</v>
      </c>
      <c r="B14" s="80">
        <f>3500*25</f>
        <v>87500</v>
      </c>
      <c r="C14" s="89">
        <f t="shared" ref="C14:C15" si="0">0.333333333333333%*100</f>
        <v>0.33333333333333298</v>
      </c>
      <c r="D14" s="2" t="s">
        <v>538</v>
      </c>
      <c r="E14" s="2"/>
      <c r="F14" s="2"/>
    </row>
    <row r="15" spans="1:6">
      <c r="A15" s="2" t="s">
        <v>530</v>
      </c>
      <c r="B15" s="80">
        <f>3000*20</f>
        <v>60000</v>
      </c>
      <c r="C15" s="89">
        <f t="shared" si="0"/>
        <v>0.33333333333333298</v>
      </c>
      <c r="D15" s="2" t="s">
        <v>540</v>
      </c>
      <c r="E15" s="2"/>
      <c r="F15" s="2"/>
    </row>
    <row r="16" spans="1:6" ht="16">
      <c r="A16" s="2" t="s">
        <v>531</v>
      </c>
      <c r="B16" s="91">
        <f>SUMPRODUCT(B13:B15,C13:C15)</f>
        <v>82499.999999999913</v>
      </c>
      <c r="C16" s="90">
        <f>SUM(C13:C15)</f>
        <v>0.99999999999999889</v>
      </c>
      <c r="D16" s="2"/>
      <c r="E16" s="2"/>
      <c r="F16" s="2"/>
    </row>
    <row r="17" spans="1:6" ht="16">
      <c r="A17" s="2" t="s">
        <v>537</v>
      </c>
      <c r="B17" s="91">
        <v>67890</v>
      </c>
      <c r="C17" s="90"/>
      <c r="D17" s="2"/>
      <c r="E17" s="2"/>
      <c r="F17" s="2"/>
    </row>
    <row r="18" spans="1:6" ht="16">
      <c r="A18" s="2" t="s">
        <v>536</v>
      </c>
      <c r="B18" s="92">
        <f>B16/B17-1</f>
        <v>0.21520106053910615</v>
      </c>
      <c r="C18" s="90"/>
      <c r="D18" s="2"/>
      <c r="E18" s="2"/>
      <c r="F18" s="2"/>
    </row>
  </sheetData>
  <phoneticPr fontId="2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"/>
  <sheetViews>
    <sheetView topLeftCell="A59" workbookViewId="0">
      <selection activeCell="F78" sqref="F78"/>
    </sheetView>
  </sheetViews>
  <sheetFormatPr baseColWidth="10" defaultColWidth="8.83203125" defaultRowHeight="14"/>
  <cols>
    <col min="1" max="1" width="46" customWidth="1"/>
    <col min="2" max="2" width="15" customWidth="1"/>
    <col min="3" max="3" width="13" customWidth="1"/>
    <col min="4" max="4" width="15" customWidth="1"/>
    <col min="5" max="5" width="13" customWidth="1"/>
    <col min="6" max="6" width="12" customWidth="1"/>
    <col min="7" max="10" width="11" customWidth="1"/>
  </cols>
  <sheetData>
    <row r="1" spans="1:11" ht="16">
      <c r="A1" s="63" t="s">
        <v>398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399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5" t="s">
        <v>400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 t="s">
        <v>401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35" t="s">
        <v>402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5" t="s">
        <v>389</v>
      </c>
      <c r="B8" s="5" t="s">
        <v>403</v>
      </c>
      <c r="C8" s="5" t="s">
        <v>404</v>
      </c>
      <c r="D8" s="5" t="s">
        <v>405</v>
      </c>
      <c r="E8" s="5" t="s">
        <v>406</v>
      </c>
      <c r="F8" s="5" t="s">
        <v>407</v>
      </c>
      <c r="G8" s="5" t="s">
        <v>408</v>
      </c>
      <c r="H8" s="5" t="s">
        <v>409</v>
      </c>
      <c r="I8" s="5" t="s">
        <v>410</v>
      </c>
      <c r="J8" s="2"/>
      <c r="K8" s="2"/>
    </row>
    <row r="9" spans="1:11">
      <c r="A9" s="8" t="s">
        <v>196</v>
      </c>
      <c r="B9" s="2">
        <v>204</v>
      </c>
      <c r="C9" s="50">
        <v>14.36</v>
      </c>
      <c r="D9" s="50">
        <v>17.13</v>
      </c>
      <c r="E9" s="50">
        <v>19.8</v>
      </c>
      <c r="F9" s="50">
        <v>22.11</v>
      </c>
      <c r="G9" s="50">
        <v>26.38</v>
      </c>
      <c r="H9" s="50">
        <v>33.25</v>
      </c>
      <c r="I9" s="50">
        <v>188.31</v>
      </c>
      <c r="J9" s="2"/>
      <c r="K9" s="2"/>
    </row>
    <row r="10" spans="1:11">
      <c r="A10" s="8" t="s">
        <v>197</v>
      </c>
      <c r="B10" s="2">
        <v>208</v>
      </c>
      <c r="C10" s="50">
        <v>1.35</v>
      </c>
      <c r="D10" s="50">
        <v>1.55</v>
      </c>
      <c r="E10" s="50">
        <v>1.85</v>
      </c>
      <c r="F10" s="50">
        <v>2.2799999999999998</v>
      </c>
      <c r="G10" s="50">
        <v>2.75</v>
      </c>
      <c r="H10" s="50">
        <v>3.11</v>
      </c>
      <c r="I10" s="50">
        <v>3.72</v>
      </c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35" t="s">
        <v>411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5" t="s">
        <v>412</v>
      </c>
      <c r="B13" s="5" t="s">
        <v>413</v>
      </c>
      <c r="C13" s="5" t="s">
        <v>414</v>
      </c>
      <c r="D13" s="5" t="s">
        <v>415</v>
      </c>
      <c r="E13" s="5" t="s">
        <v>416</v>
      </c>
      <c r="F13" s="5" t="s">
        <v>417</v>
      </c>
      <c r="G13" s="5" t="s">
        <v>418</v>
      </c>
      <c r="H13" s="5" t="s">
        <v>419</v>
      </c>
      <c r="I13" s="5" t="s">
        <v>420</v>
      </c>
      <c r="J13" s="5" t="s">
        <v>421</v>
      </c>
      <c r="K13" s="5" t="s">
        <v>422</v>
      </c>
    </row>
    <row r="14" spans="1:11">
      <c r="A14" s="2" t="s">
        <v>423</v>
      </c>
      <c r="B14" s="2">
        <v>43</v>
      </c>
      <c r="C14" s="72">
        <v>25.3</v>
      </c>
      <c r="D14" s="72">
        <v>19.2</v>
      </c>
      <c r="E14" s="72">
        <v>21.6</v>
      </c>
      <c r="F14" s="72">
        <v>23.3</v>
      </c>
      <c r="G14" s="50">
        <v>1.41</v>
      </c>
      <c r="H14" s="50">
        <v>1.7</v>
      </c>
      <c r="I14" s="50">
        <v>1.98</v>
      </c>
      <c r="J14" s="50">
        <v>2.4900000000000002</v>
      </c>
      <c r="K14" s="50">
        <v>3.12</v>
      </c>
    </row>
    <row r="15" spans="1:11">
      <c r="A15" s="2" t="s">
        <v>424</v>
      </c>
      <c r="B15" s="2">
        <v>78</v>
      </c>
      <c r="C15" s="72">
        <v>30.5</v>
      </c>
      <c r="D15" s="72">
        <v>18.2</v>
      </c>
      <c r="E15" s="72">
        <v>20.7</v>
      </c>
      <c r="F15" s="72">
        <v>22.7</v>
      </c>
      <c r="G15" s="50">
        <v>1.59</v>
      </c>
      <c r="H15" s="50">
        <v>2.1800000000000002</v>
      </c>
      <c r="I15" s="50">
        <v>2.57</v>
      </c>
      <c r="J15" s="50">
        <v>2.85</v>
      </c>
      <c r="K15" s="50">
        <v>3.72</v>
      </c>
    </row>
    <row r="16" spans="1:11">
      <c r="A16" s="2" t="s">
        <v>425</v>
      </c>
      <c r="B16" s="2">
        <v>27</v>
      </c>
      <c r="C16" s="72">
        <v>28.4</v>
      </c>
      <c r="D16" s="72">
        <v>22.8</v>
      </c>
      <c r="E16" s="72">
        <v>27.4</v>
      </c>
      <c r="F16" s="72">
        <v>30.3</v>
      </c>
      <c r="G16" s="50">
        <v>1.94</v>
      </c>
      <c r="H16" s="50">
        <v>2.2599999999999998</v>
      </c>
      <c r="I16" s="50">
        <v>2.56</v>
      </c>
      <c r="J16" s="50">
        <v>2.88</v>
      </c>
      <c r="K16" s="50">
        <v>3.42</v>
      </c>
    </row>
    <row r="17" spans="1:11">
      <c r="A17" s="2" t="s">
        <v>426</v>
      </c>
      <c r="B17" s="2">
        <v>48</v>
      </c>
      <c r="C17" s="72">
        <v>24.1</v>
      </c>
      <c r="D17" s="72">
        <v>20.9</v>
      </c>
      <c r="E17" s="72">
        <v>22.2</v>
      </c>
      <c r="F17" s="72">
        <v>30</v>
      </c>
      <c r="G17" s="50">
        <v>1.44</v>
      </c>
      <c r="H17" s="50">
        <v>1.74</v>
      </c>
      <c r="I17" s="50">
        <v>2</v>
      </c>
      <c r="J17" s="50">
        <v>2.38</v>
      </c>
      <c r="K17" s="50">
        <v>3.53</v>
      </c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35" t="s">
        <v>427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5" t="s">
        <v>428</v>
      </c>
      <c r="B20" s="5" t="s">
        <v>222</v>
      </c>
      <c r="C20" s="5" t="s">
        <v>355</v>
      </c>
      <c r="D20" s="5" t="s">
        <v>429</v>
      </c>
      <c r="E20" s="5" t="s">
        <v>361</v>
      </c>
      <c r="F20" s="5" t="s">
        <v>224</v>
      </c>
      <c r="G20" s="5" t="s">
        <v>225</v>
      </c>
      <c r="H20" s="5" t="s">
        <v>196</v>
      </c>
      <c r="I20" s="5" t="s">
        <v>197</v>
      </c>
      <c r="J20" s="5" t="s">
        <v>430</v>
      </c>
      <c r="K20" s="2"/>
    </row>
    <row r="21" spans="1:11">
      <c r="A21" s="2" t="s">
        <v>431</v>
      </c>
      <c r="B21" s="2" t="s">
        <v>432</v>
      </c>
      <c r="C21" s="54">
        <v>10150</v>
      </c>
      <c r="D21" s="12">
        <v>497</v>
      </c>
      <c r="E21" s="72">
        <v>17.5</v>
      </c>
      <c r="F21" s="54">
        <v>379</v>
      </c>
      <c r="G21" s="54">
        <v>7109</v>
      </c>
      <c r="H21" s="72">
        <v>26.8</v>
      </c>
      <c r="I21" s="50">
        <v>1.43</v>
      </c>
      <c r="J21" s="2" t="s">
        <v>433</v>
      </c>
      <c r="K21" s="2"/>
    </row>
    <row r="22" spans="1:11">
      <c r="A22" s="2" t="s">
        <v>431</v>
      </c>
      <c r="B22" s="2" t="s">
        <v>434</v>
      </c>
      <c r="C22" s="54">
        <v>12520</v>
      </c>
      <c r="D22" s="12">
        <v>932</v>
      </c>
      <c r="E22" s="72">
        <v>27.6</v>
      </c>
      <c r="F22" s="54">
        <v>790</v>
      </c>
      <c r="G22" s="54">
        <v>7812</v>
      </c>
      <c r="H22" s="72">
        <v>15.9</v>
      </c>
      <c r="I22" s="50">
        <v>1.6</v>
      </c>
      <c r="J22" s="2" t="s">
        <v>433</v>
      </c>
      <c r="K22" s="2"/>
    </row>
    <row r="23" spans="1:11">
      <c r="A23" s="2" t="s">
        <v>431</v>
      </c>
      <c r="B23" s="2" t="s">
        <v>435</v>
      </c>
      <c r="C23" s="54">
        <v>26130</v>
      </c>
      <c r="D23" s="12">
        <v>1373</v>
      </c>
      <c r="E23" s="72">
        <v>28.7</v>
      </c>
      <c r="F23" s="54">
        <v>1541</v>
      </c>
      <c r="G23" s="54">
        <v>13682</v>
      </c>
      <c r="H23" s="72">
        <v>17</v>
      </c>
      <c r="I23" s="50">
        <v>1.91</v>
      </c>
      <c r="J23" s="2" t="s">
        <v>433</v>
      </c>
      <c r="K23" s="2"/>
    </row>
    <row r="24" spans="1:11">
      <c r="A24" s="2" t="s">
        <v>431</v>
      </c>
      <c r="B24" s="2" t="s">
        <v>436</v>
      </c>
      <c r="C24" s="54">
        <v>36970</v>
      </c>
      <c r="D24" s="12">
        <v>1989</v>
      </c>
      <c r="E24" s="72">
        <v>33.1</v>
      </c>
      <c r="F24" s="54">
        <v>2120</v>
      </c>
      <c r="G24" s="54">
        <v>17067</v>
      </c>
      <c r="H24" s="72">
        <v>17.399999999999999</v>
      </c>
      <c r="I24" s="50">
        <v>2.17</v>
      </c>
      <c r="J24" s="2" t="s">
        <v>433</v>
      </c>
      <c r="K24" s="2"/>
    </row>
    <row r="25" spans="1:11">
      <c r="A25" s="2" t="s">
        <v>431</v>
      </c>
      <c r="B25" s="2" t="s">
        <v>437</v>
      </c>
      <c r="C25" s="54">
        <v>75080</v>
      </c>
      <c r="D25" s="12">
        <v>2582</v>
      </c>
      <c r="E25" s="72">
        <v>31.3</v>
      </c>
      <c r="F25" s="54">
        <v>3449</v>
      </c>
      <c r="G25" s="54">
        <v>26332</v>
      </c>
      <c r="H25" s="72">
        <v>21.8</v>
      </c>
      <c r="I25" s="50">
        <v>2.85</v>
      </c>
      <c r="J25" s="2" t="s">
        <v>433</v>
      </c>
      <c r="K25" s="2"/>
    </row>
    <row r="26" spans="1:11">
      <c r="A26" s="2" t="s">
        <v>431</v>
      </c>
      <c r="B26" s="2" t="s">
        <v>438</v>
      </c>
      <c r="C26" s="54">
        <v>70300</v>
      </c>
      <c r="D26" s="12">
        <v>2201</v>
      </c>
      <c r="E26" s="72">
        <v>24.1</v>
      </c>
      <c r="F26" s="54">
        <v>3179</v>
      </c>
      <c r="G26" s="54">
        <v>33499</v>
      </c>
      <c r="H26" s="72">
        <v>22.1</v>
      </c>
      <c r="I26" s="50">
        <v>2.1</v>
      </c>
      <c r="J26" s="2" t="s">
        <v>439</v>
      </c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 t="s">
        <v>440</v>
      </c>
      <c r="B28" s="2" t="s">
        <v>441</v>
      </c>
      <c r="C28" s="54">
        <v>11090</v>
      </c>
      <c r="D28" s="12">
        <v>75</v>
      </c>
      <c r="E28" s="72">
        <v>3.8</v>
      </c>
      <c r="F28" s="54">
        <v>67</v>
      </c>
      <c r="G28" s="54">
        <v>7221</v>
      </c>
      <c r="H28" s="72">
        <v>164.6</v>
      </c>
      <c r="I28" s="50">
        <v>1.54</v>
      </c>
      <c r="J28" s="2" t="s">
        <v>433</v>
      </c>
      <c r="K28" s="2"/>
    </row>
    <row r="29" spans="1:11">
      <c r="A29" s="2" t="s">
        <v>440</v>
      </c>
      <c r="B29" s="2" t="s">
        <v>442</v>
      </c>
      <c r="C29" s="54">
        <v>16080</v>
      </c>
      <c r="D29" s="12">
        <v>742</v>
      </c>
      <c r="E29" s="72">
        <v>22.5</v>
      </c>
      <c r="F29" s="54">
        <v>904</v>
      </c>
      <c r="G29" s="54">
        <v>8535</v>
      </c>
      <c r="H29" s="72">
        <v>17.8</v>
      </c>
      <c r="I29" s="50">
        <v>1.88</v>
      </c>
      <c r="J29" s="2" t="s">
        <v>433</v>
      </c>
      <c r="K29" s="2"/>
    </row>
    <row r="30" spans="1:11">
      <c r="A30" s="2" t="s">
        <v>440</v>
      </c>
      <c r="B30" s="2" t="s">
        <v>443</v>
      </c>
      <c r="C30" s="54">
        <v>32520</v>
      </c>
      <c r="D30" s="12">
        <v>1314</v>
      </c>
      <c r="E30" s="72">
        <v>28.4</v>
      </c>
      <c r="F30" s="54">
        <v>1251</v>
      </c>
      <c r="G30" s="54">
        <v>13981</v>
      </c>
      <c r="H30" s="72">
        <v>26</v>
      </c>
      <c r="I30" s="50">
        <v>2.33</v>
      </c>
      <c r="J30" s="2" t="s">
        <v>433</v>
      </c>
      <c r="K30" s="2"/>
    </row>
    <row r="31" spans="1:11">
      <c r="A31" s="2" t="s">
        <v>440</v>
      </c>
      <c r="B31" s="2" t="s">
        <v>444</v>
      </c>
      <c r="C31" s="54">
        <v>66320</v>
      </c>
      <c r="D31" s="12">
        <v>1378</v>
      </c>
      <c r="E31" s="72">
        <v>26.8</v>
      </c>
      <c r="F31" s="54">
        <v>1551</v>
      </c>
      <c r="G31" s="54">
        <v>18795</v>
      </c>
      <c r="H31" s="72">
        <v>42.8</v>
      </c>
      <c r="I31" s="50">
        <v>3.53</v>
      </c>
      <c r="J31" s="2" t="s">
        <v>433</v>
      </c>
      <c r="K31" s="2"/>
    </row>
    <row r="32" spans="1:11">
      <c r="A32" s="2" t="s">
        <v>440</v>
      </c>
      <c r="B32" s="2" t="s">
        <v>445</v>
      </c>
      <c r="C32" s="54">
        <v>54880</v>
      </c>
      <c r="D32" s="12">
        <v>1815</v>
      </c>
      <c r="E32" s="72">
        <v>22.8</v>
      </c>
      <c r="F32" s="54">
        <v>2474</v>
      </c>
      <c r="G32" s="54">
        <v>30255</v>
      </c>
      <c r="H32" s="72">
        <v>22.2</v>
      </c>
      <c r="I32" s="50">
        <v>1.81</v>
      </c>
      <c r="J32" s="2" t="s">
        <v>439</v>
      </c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 t="s">
        <v>446</v>
      </c>
      <c r="B34" s="2" t="s">
        <v>447</v>
      </c>
      <c r="C34" s="54">
        <v>14750</v>
      </c>
      <c r="D34" s="12">
        <v>784</v>
      </c>
      <c r="E34" s="72">
        <v>25.3</v>
      </c>
      <c r="F34" s="54">
        <v>721</v>
      </c>
      <c r="G34" s="54">
        <v>7630</v>
      </c>
      <c r="H34" s="72">
        <v>20.399999999999999</v>
      </c>
      <c r="I34" s="50">
        <v>1.93</v>
      </c>
      <c r="J34" s="2" t="s">
        <v>433</v>
      </c>
      <c r="K34" s="2"/>
    </row>
    <row r="35" spans="1:11">
      <c r="A35" s="2" t="s">
        <v>446</v>
      </c>
      <c r="B35" s="2" t="s">
        <v>448</v>
      </c>
      <c r="C35" s="54">
        <v>37650</v>
      </c>
      <c r="D35" s="12">
        <v>1277</v>
      </c>
      <c r="E35" s="72">
        <v>27.9</v>
      </c>
      <c r="F35" s="54">
        <v>1631</v>
      </c>
      <c r="G35" s="54">
        <v>13682</v>
      </c>
      <c r="H35" s="72">
        <v>23.1</v>
      </c>
      <c r="I35" s="50">
        <v>2.75</v>
      </c>
      <c r="J35" s="2" t="s">
        <v>433</v>
      </c>
      <c r="K35" s="2"/>
    </row>
    <row r="36" spans="1:11">
      <c r="A36" s="2" t="s">
        <v>446</v>
      </c>
      <c r="B36" s="2" t="s">
        <v>449</v>
      </c>
      <c r="C36" s="54">
        <v>53520</v>
      </c>
      <c r="D36" s="12">
        <v>1687</v>
      </c>
      <c r="E36" s="72">
        <v>30.7</v>
      </c>
      <c r="F36" s="54">
        <v>2102</v>
      </c>
      <c r="G36" s="54">
        <v>15293</v>
      </c>
      <c r="H36" s="72">
        <v>25.5</v>
      </c>
      <c r="I36" s="50">
        <v>3.5</v>
      </c>
      <c r="J36" s="2" t="s">
        <v>433</v>
      </c>
      <c r="K36" s="2"/>
    </row>
    <row r="37" spans="1:11">
      <c r="A37" s="2" t="s">
        <v>446</v>
      </c>
      <c r="B37" s="2" t="s">
        <v>450</v>
      </c>
      <c r="C37" s="54">
        <v>77590</v>
      </c>
      <c r="D37" s="12">
        <v>2063</v>
      </c>
      <c r="E37" s="72">
        <v>31.3</v>
      </c>
      <c r="F37" s="54">
        <v>2506</v>
      </c>
      <c r="G37" s="54">
        <v>20835</v>
      </c>
      <c r="H37" s="72">
        <v>31</v>
      </c>
      <c r="I37" s="50">
        <v>3.72</v>
      </c>
      <c r="J37" s="2" t="s">
        <v>433</v>
      </c>
      <c r="K37" s="2"/>
    </row>
    <row r="38" spans="1:11">
      <c r="A38" s="2" t="s">
        <v>446</v>
      </c>
      <c r="B38" s="2" t="s">
        <v>451</v>
      </c>
      <c r="C38" s="54">
        <v>90150</v>
      </c>
      <c r="D38" s="12">
        <v>2156</v>
      </c>
      <c r="E38" s="72">
        <v>27.6</v>
      </c>
      <c r="F38" s="54">
        <v>2918</v>
      </c>
      <c r="G38" s="54">
        <v>26332</v>
      </c>
      <c r="H38" s="72">
        <v>30.9</v>
      </c>
      <c r="I38" s="50">
        <v>3.42</v>
      </c>
      <c r="J38" s="2" t="s">
        <v>433</v>
      </c>
      <c r="K38" s="2"/>
    </row>
    <row r="39" spans="1:11">
      <c r="A39" s="2" t="s">
        <v>446</v>
      </c>
      <c r="B39" s="2" t="s">
        <v>452</v>
      </c>
      <c r="C39" s="54">
        <v>76080</v>
      </c>
      <c r="D39" s="12">
        <v>1850</v>
      </c>
      <c r="E39" s="72">
        <v>22.8</v>
      </c>
      <c r="F39" s="54">
        <v>2485</v>
      </c>
      <c r="G39" s="54">
        <v>30255</v>
      </c>
      <c r="H39" s="72">
        <v>30.6</v>
      </c>
      <c r="I39" s="50">
        <v>2.5099999999999998</v>
      </c>
      <c r="J39" s="2" t="s">
        <v>439</v>
      </c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 t="s">
        <v>453</v>
      </c>
      <c r="B41" s="2" t="s">
        <v>454</v>
      </c>
      <c r="C41" s="54">
        <v>9720</v>
      </c>
      <c r="D41" s="12">
        <v>133</v>
      </c>
      <c r="E41" s="72">
        <v>6.7</v>
      </c>
      <c r="F41" s="54">
        <v>25</v>
      </c>
      <c r="G41" s="54">
        <v>7201</v>
      </c>
      <c r="H41" s="72">
        <v>389</v>
      </c>
      <c r="I41" s="50">
        <v>1.35</v>
      </c>
      <c r="J41" s="2" t="s">
        <v>433</v>
      </c>
      <c r="K41" s="2"/>
    </row>
    <row r="42" spans="1:11">
      <c r="A42" s="2" t="s">
        <v>453</v>
      </c>
      <c r="B42" s="2" t="s">
        <v>455</v>
      </c>
      <c r="C42" s="54">
        <v>24905</v>
      </c>
      <c r="D42" s="12">
        <v>1342</v>
      </c>
      <c r="E42" s="72">
        <v>28.2</v>
      </c>
      <c r="F42" s="54">
        <v>1371</v>
      </c>
      <c r="G42" s="54">
        <v>13981</v>
      </c>
      <c r="H42" s="72">
        <v>18.2</v>
      </c>
      <c r="I42" s="50">
        <v>1.78</v>
      </c>
      <c r="J42" s="2" t="s">
        <v>433</v>
      </c>
      <c r="K42" s="2"/>
    </row>
    <row r="43" spans="1:11">
      <c r="A43" s="2" t="s">
        <v>453</v>
      </c>
      <c r="B43" s="2" t="s">
        <v>456</v>
      </c>
      <c r="C43" s="54">
        <v>33240</v>
      </c>
      <c r="D43" s="12">
        <v>1945</v>
      </c>
      <c r="E43" s="72">
        <v>32.299999999999997</v>
      </c>
      <c r="F43" s="54">
        <v>2066</v>
      </c>
      <c r="G43" s="54">
        <v>17067</v>
      </c>
      <c r="H43" s="72">
        <v>16.100000000000001</v>
      </c>
      <c r="I43" s="50">
        <v>1.95</v>
      </c>
      <c r="J43" s="2" t="s">
        <v>433</v>
      </c>
      <c r="K43" s="2"/>
    </row>
    <row r="44" spans="1:11">
      <c r="A44" s="2" t="s">
        <v>453</v>
      </c>
      <c r="B44" s="2" t="s">
        <v>457</v>
      </c>
      <c r="C44" s="54">
        <v>55580</v>
      </c>
      <c r="D44" s="12">
        <v>2435</v>
      </c>
      <c r="E44" s="72">
        <v>30.8</v>
      </c>
      <c r="F44" s="54">
        <v>3600</v>
      </c>
      <c r="G44" s="54">
        <v>23808</v>
      </c>
      <c r="H44" s="72">
        <v>15.4</v>
      </c>
      <c r="I44" s="50">
        <v>2.33</v>
      </c>
      <c r="J44" s="2" t="s">
        <v>433</v>
      </c>
      <c r="K44" s="2"/>
    </row>
    <row r="45" spans="1:11">
      <c r="A45" s="2" t="s">
        <v>453</v>
      </c>
      <c r="B45" s="2" t="s">
        <v>458</v>
      </c>
      <c r="C45" s="54">
        <v>45430</v>
      </c>
      <c r="D45" s="12">
        <v>1823</v>
      </c>
      <c r="E45" s="72">
        <v>23.1</v>
      </c>
      <c r="F45" s="54">
        <v>2231</v>
      </c>
      <c r="G45" s="54">
        <v>30255</v>
      </c>
      <c r="H45" s="72">
        <v>20.399999999999999</v>
      </c>
      <c r="I45" s="50">
        <v>1.5</v>
      </c>
      <c r="J45" s="2" t="s">
        <v>439</v>
      </c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35" t="s">
        <v>459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8" t="s">
        <v>460</v>
      </c>
      <c r="B48" s="2" t="s">
        <v>264</v>
      </c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8" t="s">
        <v>461</v>
      </c>
      <c r="B49" s="54">
        <v>70300</v>
      </c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8" t="s">
        <v>462</v>
      </c>
      <c r="B50" s="54">
        <v>3179</v>
      </c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8" t="s">
        <v>463</v>
      </c>
      <c r="B51" s="54">
        <v>33499</v>
      </c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8" t="s">
        <v>464</v>
      </c>
      <c r="B52" s="72">
        <v>24.1</v>
      </c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8" t="s">
        <v>465</v>
      </c>
      <c r="B53" s="72">
        <v>20.7</v>
      </c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8" t="s">
        <v>196</v>
      </c>
      <c r="B54" s="72">
        <v>22.1</v>
      </c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8" t="s">
        <v>197</v>
      </c>
      <c r="B55" s="50">
        <v>2.1</v>
      </c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8" t="s">
        <v>466</v>
      </c>
      <c r="B56" s="2" t="s">
        <v>423</v>
      </c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35" t="s">
        <v>467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 t="s">
        <v>468</v>
      </c>
      <c r="B59" s="73">
        <f ca="1">Valuation!B32</f>
        <v>3920.7770906341943</v>
      </c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 t="s">
        <v>469</v>
      </c>
      <c r="B60" s="73">
        <f ca="1">Valuation!B45</f>
        <v>36279.62653195842</v>
      </c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5" t="s">
        <v>470</v>
      </c>
      <c r="B62" s="5" t="s">
        <v>471</v>
      </c>
      <c r="C62" s="5" t="s">
        <v>472</v>
      </c>
      <c r="D62" s="5" t="s">
        <v>473</v>
      </c>
      <c r="E62" s="5" t="s">
        <v>472</v>
      </c>
      <c r="F62" s="2"/>
      <c r="G62" s="2"/>
      <c r="H62" s="2"/>
      <c r="I62" s="2"/>
      <c r="J62" s="2"/>
      <c r="K62" s="2"/>
    </row>
    <row r="63" spans="1:11">
      <c r="A63" s="2" t="s">
        <v>474</v>
      </c>
      <c r="B63" s="50">
        <v>19.8</v>
      </c>
      <c r="C63" s="74">
        <f t="shared" ref="C63:C70" ca="1" si="0">B63*$B$59</f>
        <v>77631.386394557048</v>
      </c>
      <c r="D63" s="50">
        <v>1.85</v>
      </c>
      <c r="E63" s="74">
        <f t="shared" ref="E63:E70" ca="1" si="1">D63*$B$60</f>
        <v>67117.309084123073</v>
      </c>
      <c r="F63" s="2"/>
      <c r="G63" s="2"/>
      <c r="H63" s="2"/>
      <c r="I63" s="2"/>
      <c r="J63" s="2"/>
      <c r="K63" s="2"/>
    </row>
    <row r="64" spans="1:11">
      <c r="A64" s="2" t="s">
        <v>475</v>
      </c>
      <c r="B64" s="50">
        <v>22.11</v>
      </c>
      <c r="C64" s="74">
        <f t="shared" ca="1" si="0"/>
        <v>86688.38147392204</v>
      </c>
      <c r="D64" s="50">
        <v>2.2799999999999998</v>
      </c>
      <c r="E64" s="74">
        <f t="shared" ca="1" si="1"/>
        <v>82717.548492865186</v>
      </c>
      <c r="F64" s="2"/>
      <c r="G64" s="2"/>
      <c r="H64" s="2"/>
      <c r="I64" s="2"/>
      <c r="J64" s="2"/>
      <c r="K64" s="2"/>
    </row>
    <row r="65" spans="1:11">
      <c r="A65" s="2" t="s">
        <v>476</v>
      </c>
      <c r="B65" s="50">
        <v>26.38</v>
      </c>
      <c r="C65" s="74">
        <f t="shared" ca="1" si="0"/>
        <v>103430.09965093005</v>
      </c>
      <c r="D65" s="50">
        <v>2.75</v>
      </c>
      <c r="E65" s="74">
        <f t="shared" ca="1" si="1"/>
        <v>99768.972962885658</v>
      </c>
      <c r="F65" s="2"/>
      <c r="G65" s="2"/>
      <c r="H65" s="2"/>
      <c r="I65" s="2"/>
      <c r="J65" s="2"/>
      <c r="K65" s="2"/>
    </row>
    <row r="66" spans="1:11">
      <c r="A66" s="2" t="s">
        <v>477</v>
      </c>
      <c r="B66" s="50">
        <v>33.25</v>
      </c>
      <c r="C66" s="74">
        <f t="shared" ca="1" si="0"/>
        <v>130365.83826358696</v>
      </c>
      <c r="D66" s="50">
        <v>3.11</v>
      </c>
      <c r="E66" s="74">
        <f t="shared" ca="1" si="1"/>
        <v>112829.63851439068</v>
      </c>
      <c r="F66" s="2"/>
      <c r="G66" s="2"/>
      <c r="H66" s="2"/>
      <c r="I66" s="2"/>
      <c r="J66" s="2"/>
      <c r="K66" s="2"/>
    </row>
    <row r="67" spans="1:11">
      <c r="A67" s="2" t="s">
        <v>478</v>
      </c>
      <c r="B67" s="50">
        <v>21.57</v>
      </c>
      <c r="C67" s="74">
        <f t="shared" ca="1" si="0"/>
        <v>84571.161844979579</v>
      </c>
      <c r="D67" s="50">
        <v>1.98</v>
      </c>
      <c r="E67" s="74">
        <f t="shared" ca="1" si="1"/>
        <v>71833.660533277667</v>
      </c>
      <c r="F67" s="2"/>
      <c r="G67" s="2"/>
      <c r="H67" s="2"/>
      <c r="I67" s="2"/>
      <c r="J67" s="2"/>
      <c r="K67" s="2"/>
    </row>
    <row r="68" spans="1:11">
      <c r="A68" s="2" t="s">
        <v>479</v>
      </c>
      <c r="B68" s="50">
        <v>20.72</v>
      </c>
      <c r="C68" s="74">
        <f t="shared" ca="1" si="0"/>
        <v>81238.501317940507</v>
      </c>
      <c r="D68" s="50">
        <v>2.57</v>
      </c>
      <c r="E68" s="74">
        <f t="shared" ca="1" si="1"/>
        <v>93238.640187133133</v>
      </c>
      <c r="F68" s="2"/>
      <c r="G68" s="2"/>
      <c r="H68" s="2"/>
      <c r="I68" s="2"/>
      <c r="J68" s="2"/>
      <c r="K68" s="2"/>
    </row>
    <row r="69" spans="1:11">
      <c r="A69" s="2" t="s">
        <v>480</v>
      </c>
      <c r="B69" s="50">
        <v>27.36</v>
      </c>
      <c r="C69" s="74">
        <f t="shared" ca="1" si="0"/>
        <v>107272.46119975156</v>
      </c>
      <c r="D69" s="50">
        <v>2.56</v>
      </c>
      <c r="E69" s="74">
        <f t="shared" ca="1" si="1"/>
        <v>92875.843921813561</v>
      </c>
      <c r="F69" s="2"/>
      <c r="G69" s="2"/>
      <c r="H69" s="2"/>
      <c r="I69" s="2"/>
      <c r="J69" s="2"/>
      <c r="K69" s="2"/>
    </row>
    <row r="70" spans="1:11">
      <c r="A70" s="2" t="s">
        <v>481</v>
      </c>
      <c r="B70" s="50">
        <v>22.16</v>
      </c>
      <c r="C70" s="74">
        <f t="shared" ca="1" si="0"/>
        <v>86884.420328453751</v>
      </c>
      <c r="D70" s="50">
        <v>2</v>
      </c>
      <c r="E70" s="74">
        <f t="shared" ca="1" si="1"/>
        <v>72559.25306391684</v>
      </c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35" t="s">
        <v>482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 t="s">
        <v>483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5" t="s">
        <v>484</v>
      </c>
      <c r="B76" s="5" t="s">
        <v>403</v>
      </c>
      <c r="C76" s="5" t="s">
        <v>404</v>
      </c>
      <c r="D76" s="5" t="s">
        <v>405</v>
      </c>
      <c r="E76" s="5" t="s">
        <v>406</v>
      </c>
      <c r="F76" s="5" t="s">
        <v>407</v>
      </c>
      <c r="G76" s="5" t="s">
        <v>408</v>
      </c>
      <c r="H76" s="5" t="s">
        <v>409</v>
      </c>
      <c r="I76" s="5" t="s">
        <v>410</v>
      </c>
      <c r="J76" s="2"/>
      <c r="K76" s="2"/>
    </row>
    <row r="77" spans="1:11">
      <c r="A77" s="2" t="s">
        <v>485</v>
      </c>
      <c r="B77" s="2">
        <v>34</v>
      </c>
      <c r="C77" s="72">
        <v>14.2</v>
      </c>
      <c r="D77" s="72">
        <v>16.899999999999999</v>
      </c>
      <c r="E77" s="72">
        <v>20.5</v>
      </c>
      <c r="F77" s="72">
        <v>22.7</v>
      </c>
      <c r="G77" s="72">
        <v>25.6</v>
      </c>
      <c r="H77" s="72">
        <v>32</v>
      </c>
      <c r="I77" s="72">
        <v>51</v>
      </c>
      <c r="J77" s="2"/>
      <c r="K77" s="2"/>
    </row>
    <row r="78" spans="1:11">
      <c r="A78" s="8" t="s">
        <v>486</v>
      </c>
      <c r="B78" s="2">
        <v>50</v>
      </c>
      <c r="C78" s="72">
        <v>12.6</v>
      </c>
      <c r="D78" s="72">
        <v>15.6</v>
      </c>
      <c r="E78" s="72">
        <v>19.899999999999999</v>
      </c>
      <c r="F78" s="72">
        <v>22.5</v>
      </c>
      <c r="G78" s="72">
        <v>24.8</v>
      </c>
      <c r="H78" s="72">
        <v>30.9</v>
      </c>
      <c r="I78" s="72">
        <v>54</v>
      </c>
      <c r="J78" s="2"/>
      <c r="K78" s="2"/>
    </row>
    <row r="79" spans="1:11">
      <c r="A79" s="2" t="s">
        <v>487</v>
      </c>
      <c r="B79" s="2">
        <v>51</v>
      </c>
      <c r="C79" s="72">
        <v>13.7</v>
      </c>
      <c r="D79" s="72">
        <v>16.5</v>
      </c>
      <c r="E79" s="72">
        <v>20.2</v>
      </c>
      <c r="F79" s="72">
        <v>23.1</v>
      </c>
      <c r="G79" s="72">
        <v>26.5</v>
      </c>
      <c r="H79" s="72">
        <v>42.5</v>
      </c>
      <c r="I79" s="72">
        <v>120.5</v>
      </c>
      <c r="J79" s="2"/>
      <c r="K79" s="2"/>
    </row>
    <row r="80" spans="1:11">
      <c r="A80" s="2" t="s">
        <v>488</v>
      </c>
      <c r="B80" s="2">
        <v>54</v>
      </c>
      <c r="C80" s="72">
        <v>13</v>
      </c>
      <c r="D80" s="72">
        <v>17.899999999999999</v>
      </c>
      <c r="E80" s="72">
        <v>20.100000000000001</v>
      </c>
      <c r="F80" s="72">
        <v>23.1</v>
      </c>
      <c r="G80" s="72">
        <v>27</v>
      </c>
      <c r="H80" s="72">
        <v>38.200000000000003</v>
      </c>
      <c r="I80" s="72">
        <v>125</v>
      </c>
      <c r="J80" s="2"/>
      <c r="K80" s="2"/>
    </row>
    <row r="81" spans="1:11">
      <c r="A81" s="2" t="s">
        <v>489</v>
      </c>
      <c r="B81" s="2">
        <v>189</v>
      </c>
      <c r="C81" s="72">
        <v>12.6</v>
      </c>
      <c r="D81" s="72">
        <v>17.100000000000001</v>
      </c>
      <c r="E81" s="72">
        <v>20.100000000000001</v>
      </c>
      <c r="F81" s="72">
        <v>22.8</v>
      </c>
      <c r="G81" s="72">
        <v>25.7</v>
      </c>
      <c r="H81" s="72">
        <v>33.700000000000003</v>
      </c>
      <c r="I81" s="72">
        <v>125</v>
      </c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 t="s">
        <v>490</v>
      </c>
      <c r="B83" s="30">
        <v>2692.46</v>
      </c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 t="s">
        <v>491</v>
      </c>
      <c r="B84" s="2" t="s">
        <v>492</v>
      </c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 t="s">
        <v>493</v>
      </c>
      <c r="B85" s="2">
        <v>7</v>
      </c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8" t="s">
        <v>494</v>
      </c>
      <c r="B86" s="50">
        <v>26.11</v>
      </c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 t="s">
        <v>495</v>
      </c>
      <c r="B87" s="72">
        <v>77.400000000000006</v>
      </c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8" t="s">
        <v>496</v>
      </c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5" t="s">
        <v>195</v>
      </c>
      <c r="B90" s="5" t="s">
        <v>403</v>
      </c>
      <c r="C90" s="5" t="s">
        <v>404</v>
      </c>
      <c r="D90" s="5" t="s">
        <v>406</v>
      </c>
      <c r="E90" s="5" t="s">
        <v>407</v>
      </c>
      <c r="F90" s="5" t="s">
        <v>408</v>
      </c>
      <c r="G90" s="5" t="s">
        <v>410</v>
      </c>
      <c r="H90" s="5" t="s">
        <v>497</v>
      </c>
      <c r="I90" s="2"/>
      <c r="J90" s="2"/>
      <c r="K90" s="2"/>
    </row>
    <row r="91" spans="1:11">
      <c r="A91" s="8" t="s">
        <v>498</v>
      </c>
      <c r="B91" s="2">
        <v>17</v>
      </c>
      <c r="C91" s="47">
        <v>0.80800000000000005</v>
      </c>
      <c r="D91" s="47">
        <v>0.96799999999999997</v>
      </c>
      <c r="E91" s="47">
        <v>1.1970000000000001</v>
      </c>
      <c r="F91" s="47">
        <v>1.379</v>
      </c>
      <c r="G91" s="47">
        <v>9.8000000000000007</v>
      </c>
      <c r="H91" s="75">
        <v>65</v>
      </c>
      <c r="I91" s="2"/>
      <c r="J91" s="2"/>
      <c r="K91" s="2"/>
    </row>
    <row r="92" spans="1:11">
      <c r="A92" s="2" t="s">
        <v>499</v>
      </c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35" t="s">
        <v>500</v>
      </c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5" t="s">
        <v>501</v>
      </c>
      <c r="B95" s="5" t="s">
        <v>502</v>
      </c>
      <c r="C95" s="5" t="s">
        <v>503</v>
      </c>
      <c r="D95" s="5" t="s">
        <v>504</v>
      </c>
      <c r="E95" s="2"/>
      <c r="F95" s="2"/>
      <c r="G95" s="2"/>
      <c r="H95" s="2"/>
      <c r="I95" s="2"/>
      <c r="J95" s="2"/>
      <c r="K95" s="2"/>
    </row>
    <row r="96" spans="1:11">
      <c r="A96" s="2" t="s">
        <v>505</v>
      </c>
      <c r="B96" s="30">
        <v>2692.46</v>
      </c>
      <c r="C96" s="76">
        <f>IFERROR(70300/B96,"")</f>
        <v>26.109951494172616</v>
      </c>
      <c r="D96" s="52">
        <f>IFERROR(B96/B96,"")</f>
        <v>1</v>
      </c>
      <c r="E96" s="2"/>
      <c r="F96" s="2"/>
      <c r="G96" s="2"/>
      <c r="H96" s="2"/>
      <c r="I96" s="2"/>
      <c r="J96" s="2"/>
      <c r="K96" s="2"/>
    </row>
    <row r="97" spans="1:11">
      <c r="A97" s="2" t="s">
        <v>506</v>
      </c>
      <c r="B97" s="31">
        <f>IFERROR(INDEX(Comp!I:I,MATCH("62730",Comp!A:A,0)),"")</f>
        <v>3353.99</v>
      </c>
      <c r="C97" s="76">
        <f>IFERROR(70300/B97,"")</f>
        <v>20.96011019710852</v>
      </c>
      <c r="D97" s="52">
        <f>IFERROR(B97/B96,"")</f>
        <v>1.2456972434130869</v>
      </c>
      <c r="E97" s="2"/>
      <c r="F97" s="2"/>
      <c r="G97" s="2"/>
      <c r="H97" s="2"/>
      <c r="I97" s="2"/>
      <c r="J97" s="2"/>
      <c r="K97" s="2"/>
    </row>
    <row r="98" spans="1:11">
      <c r="A98" s="2" t="s">
        <v>507</v>
      </c>
      <c r="B98" s="28">
        <f>B96*1.1972</f>
        <v>3223.4131120000002</v>
      </c>
      <c r="C98" s="76">
        <f>IFERROR(70300/B98,"")</f>
        <v>21.809181000812409</v>
      </c>
      <c r="D98" s="52">
        <f>IFERROR(B98/B96,"")</f>
        <v>1.1972</v>
      </c>
      <c r="E98" s="2"/>
      <c r="F98" s="2"/>
      <c r="G98" s="2"/>
      <c r="H98" s="2"/>
      <c r="I98" s="2"/>
      <c r="J98" s="2"/>
      <c r="K98" s="2"/>
    </row>
    <row r="99" spans="1:11">
      <c r="A99" s="8" t="s">
        <v>508</v>
      </c>
      <c r="B99" s="31">
        <f>FS!V22</f>
        <v>3587.918495673387</v>
      </c>
      <c r="C99" s="76">
        <f>IFERROR(70300/B99,"")</f>
        <v>19.593533154327123</v>
      </c>
      <c r="D99" s="52">
        <f>IFERROR(B99/B96,"")</f>
        <v>1.3325800552927014</v>
      </c>
      <c r="E99" s="2"/>
      <c r="F99" s="2"/>
      <c r="G99" s="2"/>
      <c r="H99" s="2"/>
      <c r="I99" s="2"/>
      <c r="J99" s="2"/>
      <c r="K99" s="2"/>
    </row>
    <row r="100" spans="1:11">
      <c r="A100" s="2" t="s">
        <v>509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honeticPr fontId="2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1"/>
  <sheetViews>
    <sheetView workbookViewId="0"/>
  </sheetViews>
  <sheetFormatPr baseColWidth="10" defaultColWidth="8.83203125" defaultRowHeight="14"/>
  <cols>
    <col min="1" max="1" width="42" customWidth="1"/>
    <col min="2" max="17" width="11" customWidth="1"/>
  </cols>
  <sheetData>
    <row r="1" spans="1:17" ht="16">
      <c r="A1" s="63" t="s">
        <v>510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6">
      <c r="A3" s="64" t="s">
        <v>511</v>
      </c>
      <c r="B3" s="77" t="str">
        <f>IF(SUMPRODUCT(ABS(IFERROR(B6:Q12,0)))&lt;0.5,"✓ ALL CHECKS PASS","✗ ERRORS DETECTED — review red cells below")</f>
        <v>✓ ALL CHECKS PASS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8" t="s">
        <v>512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  <c r="O5" s="8" t="s">
        <v>16</v>
      </c>
      <c r="P5" s="8" t="s">
        <v>17</v>
      </c>
      <c r="Q5" s="8" t="s">
        <v>18</v>
      </c>
    </row>
    <row r="6" spans="1:17">
      <c r="A6" s="8" t="s">
        <v>513</v>
      </c>
      <c r="B6" s="78">
        <f>FS!B50</f>
        <v>0</v>
      </c>
      <c r="C6" s="78">
        <f>FS!C50</f>
        <v>9.9999999998544808E-2</v>
      </c>
      <c r="D6" s="78">
        <f>FS!D50</f>
        <v>0.10000000000218279</v>
      </c>
      <c r="E6" s="78">
        <f>FS!E50</f>
        <v>0</v>
      </c>
      <c r="F6" s="78">
        <f>FS!F50</f>
        <v>0</v>
      </c>
      <c r="G6" s="78">
        <f>FS!G50</f>
        <v>0</v>
      </c>
      <c r="H6" s="78">
        <f>FS!H50</f>
        <v>0</v>
      </c>
      <c r="I6" s="78">
        <f>FS!I50</f>
        <v>9.9999999998544808E-2</v>
      </c>
      <c r="J6" s="78">
        <f>FS!J50</f>
        <v>9.999999999490683E-2</v>
      </c>
      <c r="K6" s="78">
        <f>FS!K50</f>
        <v>9.9999999991268851E-2</v>
      </c>
      <c r="L6" s="78">
        <f>FS!L50</f>
        <v>9.999999999490683E-2</v>
      </c>
      <c r="M6" s="78">
        <f>FS!M50</f>
        <v>9.9999999991268851E-2</v>
      </c>
      <c r="N6" s="78">
        <f>FS!N50</f>
        <v>9.999999999490683E-2</v>
      </c>
      <c r="O6" s="78">
        <f>FS!O50</f>
        <v>9.999999999490683E-2</v>
      </c>
      <c r="P6" s="78">
        <f>FS!P50</f>
        <v>9.999999999490683E-2</v>
      </c>
      <c r="Q6" s="78">
        <f>FS!Q50</f>
        <v>9.999999999490683E-2</v>
      </c>
    </row>
    <row r="7" spans="1:17">
      <c r="A7" s="8" t="s">
        <v>514</v>
      </c>
      <c r="B7" s="2"/>
      <c r="C7" s="78">
        <f>FS!C30 - (FS!B30 + FS!C66)</f>
        <v>436.64735999999903</v>
      </c>
      <c r="D7" s="78">
        <f>FS!D30 - (FS!C30 + FS!D66)</f>
        <v>-425.49999999999909</v>
      </c>
      <c r="E7" s="78">
        <f>FS!E30 - (FS!D30 + FS!E66)</f>
        <v>-87.28208000000086</v>
      </c>
      <c r="F7" s="78">
        <f>FS!F30 - (FS!E30 + FS!F66)</f>
        <v>-70.899999999999636</v>
      </c>
      <c r="G7" s="78">
        <f>FS!G30 - (FS!F30 + FS!G66)</f>
        <v>215.81023999999979</v>
      </c>
      <c r="H7" s="78">
        <f>FS!H30 - (FS!G30 + FS!H66)</f>
        <v>208.40000000000055</v>
      </c>
      <c r="I7" s="78">
        <f>FS!I30 - (FS!H30 + FS!I66)</f>
        <v>571.72736000000077</v>
      </c>
      <c r="J7" s="78">
        <f>FS!J30 - (FS!I30 + FS!J66)</f>
        <v>0</v>
      </c>
      <c r="K7" s="78">
        <f>FS!K30 - (FS!J30 + FS!K66)</f>
        <v>0</v>
      </c>
      <c r="L7" s="78">
        <f>FS!L30 - (FS!K30 + FS!L66)</f>
        <v>0</v>
      </c>
      <c r="M7" s="78">
        <f>FS!M30 - (FS!L30 + FS!M66)</f>
        <v>0</v>
      </c>
      <c r="N7" s="78">
        <f>FS!N30 - (FS!M30 + FS!N66)</f>
        <v>0</v>
      </c>
      <c r="O7" s="78">
        <f>FS!O30 - (FS!N30 + FS!O66)</f>
        <v>0</v>
      </c>
      <c r="P7" s="78">
        <f>FS!P30 - (FS!O30 + FS!P66)</f>
        <v>0</v>
      </c>
      <c r="Q7" s="78">
        <f>FS!Q30 - (FS!P30 + FS!Q66)</f>
        <v>0</v>
      </c>
    </row>
    <row r="8" spans="1:17">
      <c r="A8" s="8" t="s">
        <v>515</v>
      </c>
      <c r="B8" s="78">
        <f>FS!B18 - FS!B69</f>
        <v>0</v>
      </c>
      <c r="C8" s="78">
        <f>FS!C18 - FS!C69</f>
        <v>0</v>
      </c>
      <c r="D8" s="78">
        <f>FS!D18 - FS!D69</f>
        <v>0</v>
      </c>
      <c r="E8" s="78">
        <f>FS!E18 - FS!E69</f>
        <v>0</v>
      </c>
      <c r="F8" s="78">
        <f>FS!F18 - FS!F69</f>
        <v>0</v>
      </c>
      <c r="G8" s="78">
        <f>FS!G18 - FS!G69</f>
        <v>0</v>
      </c>
      <c r="H8" s="78">
        <f>FS!H18 - FS!H69</f>
        <v>0</v>
      </c>
      <c r="I8" s="78">
        <f>FS!I18 - FS!I69</f>
        <v>0</v>
      </c>
      <c r="J8" s="78">
        <f>FS!J18 - FS!J69</f>
        <v>0</v>
      </c>
      <c r="K8" s="78">
        <f>FS!K18 - FS!K69</f>
        <v>0</v>
      </c>
      <c r="L8" s="78">
        <f>FS!L18 - FS!L69</f>
        <v>0</v>
      </c>
      <c r="M8" s="78">
        <f>FS!M18 - FS!M69</f>
        <v>0</v>
      </c>
      <c r="N8" s="78">
        <f>FS!N18 - FS!N69</f>
        <v>0</v>
      </c>
      <c r="O8" s="78">
        <f>FS!O18 - FS!O69</f>
        <v>0</v>
      </c>
      <c r="P8" s="78">
        <f>FS!P18 - FS!P69</f>
        <v>0</v>
      </c>
      <c r="Q8" s="78">
        <f>FS!Q18 - FS!Q69</f>
        <v>0</v>
      </c>
    </row>
    <row r="9" spans="1:17">
      <c r="A9" s="8" t="s">
        <v>516</v>
      </c>
      <c r="B9" s="2"/>
      <c r="C9" s="78">
        <f>FS!C46 - (FS!B46 + FS!C18 - FS!C75 - FS!C76)</f>
        <v>-319.90000000000146</v>
      </c>
      <c r="D9" s="78">
        <f>FS!D46 - (FS!C46 + FS!D18 - FS!D75 - FS!D76)</f>
        <v>473.5</v>
      </c>
      <c r="E9" s="78">
        <f>FS!E46 - (FS!D46 + FS!E18 - FS!E75 - FS!E76)</f>
        <v>-2348.1000000000004</v>
      </c>
      <c r="F9" s="78">
        <f>FS!F46 - (FS!E46 + FS!F18 - FS!F75 - FS!F76)</f>
        <v>537.20000000000073</v>
      </c>
      <c r="G9" s="78">
        <f>FS!G46 - (FS!F46 + FS!G18 - FS!G75 - FS!G76)</f>
        <v>-312.40000000000146</v>
      </c>
      <c r="H9" s="78">
        <f>FS!H46 - (FS!G46 + FS!H18 - FS!H75 - FS!H76)</f>
        <v>399</v>
      </c>
      <c r="I9" s="78">
        <f>FS!I46 - (FS!H46 + FS!I18 - FS!I75 - FS!I76)</f>
        <v>-315.79999999999927</v>
      </c>
      <c r="J9" s="78">
        <f>FS!J46 - (FS!I46 + FS!J18 - FS!J75 - FS!J76)</f>
        <v>0</v>
      </c>
      <c r="K9" s="78">
        <f>FS!K46 - (FS!J46 + FS!K18 - FS!K75 - FS!K76)</f>
        <v>0</v>
      </c>
      <c r="L9" s="78">
        <f>FS!L46 - (FS!K46 + FS!L18 - FS!L75 - FS!L76)</f>
        <v>0</v>
      </c>
      <c r="M9" s="78">
        <f>FS!M46 - (FS!L46 + FS!M18 - FS!M75 - FS!M76)</f>
        <v>0</v>
      </c>
      <c r="N9" s="78">
        <f>FS!N46 - (FS!M46 + FS!N18 - FS!N75 - FS!N76)</f>
        <v>0</v>
      </c>
      <c r="O9" s="78">
        <f>FS!O46 - (FS!N46 + FS!O18 - FS!O75 - FS!O76)</f>
        <v>0</v>
      </c>
      <c r="P9" s="78">
        <f>FS!P46 - (FS!O46 + FS!P18 - FS!P75 - FS!P76)</f>
        <v>0</v>
      </c>
      <c r="Q9" s="78">
        <f>FS!Q46 - (FS!P46 + FS!Q18 - FS!Q75 - FS!Q76)</f>
        <v>0</v>
      </c>
    </row>
    <row r="10" spans="1:17">
      <c r="A10" s="8" t="s">
        <v>517</v>
      </c>
      <c r="B10" s="2"/>
      <c r="C10" s="78">
        <f>FS!C71 - (-(FS!C31-FS!B31) - (FS!C32-FS!B32) + (FS!C40-FS!B40))</f>
        <v>0</v>
      </c>
      <c r="D10" s="78">
        <f>FS!D71 - (-(FS!D31-FS!C31) - (FS!D32-FS!C32) + (FS!D40-FS!C40))</f>
        <v>0</v>
      </c>
      <c r="E10" s="78">
        <f>FS!E71 - (-(FS!E31-FS!D31) - (FS!E32-FS!D32) + (FS!E40-FS!D40))</f>
        <v>0</v>
      </c>
      <c r="F10" s="78">
        <f>FS!F71 - (-(FS!F31-FS!E31) - (FS!F32-FS!E32) + (FS!F40-FS!E40))</f>
        <v>0</v>
      </c>
      <c r="G10" s="78">
        <f>FS!G71 - (-(FS!G31-FS!F31) - (FS!G32-FS!F32) + (FS!G40-FS!F40))</f>
        <v>0</v>
      </c>
      <c r="H10" s="78">
        <f>FS!H71 - (-(FS!H31-FS!G31) - (FS!H32-FS!G32) + (FS!H40-FS!G40))</f>
        <v>0</v>
      </c>
      <c r="I10" s="78">
        <f>FS!I71 - (-(FS!I31-FS!H31) - (FS!I32-FS!H32) + (FS!I40-FS!H40))</f>
        <v>0</v>
      </c>
      <c r="J10" s="78">
        <f>FS!J71 - (-(FS!J31-FS!I31) - (FS!J32-FS!I32) + (FS!J40-FS!I40))</f>
        <v>0</v>
      </c>
      <c r="K10" s="78">
        <f>FS!K71 - (-(FS!K31-FS!J31) - (FS!K32-FS!J32) + (FS!K40-FS!J40))</f>
        <v>0</v>
      </c>
      <c r="L10" s="78">
        <f>FS!L71 - (-(FS!L31-FS!K31) - (FS!L32-FS!K32) + (FS!L40-FS!K40))</f>
        <v>0</v>
      </c>
      <c r="M10" s="78">
        <f>FS!M71 - (-(FS!M31-FS!L31) - (FS!M32-FS!L32) + (FS!M40-FS!L40))</f>
        <v>0</v>
      </c>
      <c r="N10" s="78">
        <f>FS!N71 - (-(FS!N31-FS!M31) - (FS!N32-FS!M32) + (FS!N40-FS!M40))</f>
        <v>0</v>
      </c>
      <c r="O10" s="78">
        <f>FS!O71 - (-(FS!O31-FS!N31) - (FS!O32-FS!N32) + (FS!O40-FS!N40))</f>
        <v>0</v>
      </c>
      <c r="P10" s="78">
        <f>FS!P71 - (-(FS!P31-FS!O31) - (FS!P32-FS!O32) + (FS!P40-FS!O40))</f>
        <v>0</v>
      </c>
      <c r="Q10" s="78">
        <f>FS!Q71 - (-(FS!Q31-FS!P31) - (FS!Q32-FS!P32) + (FS!Q40-FS!P40))</f>
        <v>0</v>
      </c>
    </row>
    <row r="11" spans="1:17">
      <c r="A11" s="8" t="s">
        <v>518</v>
      </c>
      <c r="B11" s="2"/>
      <c r="C11" s="2"/>
      <c r="D11" s="2"/>
      <c r="E11" s="2"/>
      <c r="F11" s="2"/>
      <c r="G11" s="2"/>
      <c r="H11" s="2"/>
      <c r="I11" s="2"/>
      <c r="J11" s="78">
        <f>FS!J73 - FS!$B$95</f>
        <v>0</v>
      </c>
      <c r="K11" s="78">
        <f>FS!K73 - FS!$B$95</f>
        <v>0</v>
      </c>
      <c r="L11" s="78">
        <f>FS!L73 - FS!$B$95</f>
        <v>0</v>
      </c>
      <c r="M11" s="78">
        <f>FS!M73 - FS!$B$95</f>
        <v>0</v>
      </c>
      <c r="N11" s="78">
        <f>FS!N73 - FS!$B$95</f>
        <v>0</v>
      </c>
      <c r="O11" s="78">
        <f>FS!O73 - FS!$B$95</f>
        <v>0</v>
      </c>
      <c r="P11" s="78">
        <f>FS!P73 - FS!$B$95</f>
        <v>0</v>
      </c>
      <c r="Q11" s="78">
        <f>FS!Q73 - FS!$B$95</f>
        <v>0</v>
      </c>
    </row>
    <row r="12" spans="1:17">
      <c r="A12" s="8" t="s">
        <v>519</v>
      </c>
      <c r="B12" s="2"/>
      <c r="C12" s="2"/>
      <c r="D12" s="2"/>
      <c r="E12" s="2"/>
      <c r="F12" s="2"/>
      <c r="G12" s="2"/>
      <c r="H12" s="2"/>
      <c r="I12" s="2"/>
      <c r="J12" s="78">
        <f>FS!J76 - FS!$B$96</f>
        <v>0</v>
      </c>
      <c r="K12" s="78">
        <f>FS!K76 - FS!$B$96</f>
        <v>0</v>
      </c>
      <c r="L12" s="78">
        <f>FS!L76 - FS!$B$96</f>
        <v>0</v>
      </c>
      <c r="M12" s="78">
        <f>FS!M76 - FS!$B$96</f>
        <v>0</v>
      </c>
      <c r="N12" s="78">
        <f>FS!N76 - FS!$B$96</f>
        <v>0</v>
      </c>
      <c r="O12" s="78">
        <f>FS!O76 - FS!$B$96</f>
        <v>0</v>
      </c>
      <c r="P12" s="78">
        <f>FS!P76 - FS!$B$96</f>
        <v>0</v>
      </c>
      <c r="Q12" s="78">
        <f>FS!Q76 - FS!$B$96</f>
        <v>0</v>
      </c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8" t="s">
        <v>520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71" t="s">
        <v>521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71" t="s">
        <v>522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71" t="s">
        <v>523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71" t="s">
        <v>524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71" t="s">
        <v>525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71" t="s">
        <v>526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honeticPr fontId="2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Drivers</vt:lpstr>
      <vt:lpstr>FS</vt:lpstr>
      <vt:lpstr>Valuation</vt:lpstr>
      <vt:lpstr>Industry</vt:lpstr>
      <vt:lpstr>Comp</vt:lpstr>
      <vt:lpstr>Summary</vt:lpstr>
      <vt:lpstr>Cycle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夏文俊</cp:lastModifiedBy>
  <dcterms:created xsi:type="dcterms:W3CDTF">2026-08-30T11:53:24Z</dcterms:created>
  <dcterms:modified xsi:type="dcterms:W3CDTF">2026-09-09T18:53:43Z</dcterms:modified>
</cp:coreProperties>
</file>