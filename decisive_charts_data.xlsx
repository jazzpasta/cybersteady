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01 传动份额 品类×价格带" sheetId="2" state="visible" r:id="rId4"/>
    <sheet name="02 山地&gt;$6k 档位迁移" sheetId="3" state="visible" r:id="rId5"/>
    <sheet name="03 山地eMTB电机份额" sheetId="4" state="visible" r:id="rId6"/>
    <sheet name="04 Shimano电机客户集中" sheetId="5" state="visible" r:id="rId7"/>
    <sheet name="05 荷兰折扣段阵营内占比" sheetId="6" state="visible" r:id="rId8"/>
    <sheet name="06 八方产品代际" sheetId="7" state="visible" r:id="rId9"/>
    <sheet name="07 边界 八方中置份额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<sst xmlns="http://schemas.openxmlformats.org/spreadsheetml/2006/main" count="181" uniqueCount="160">
  <si>
    <t xml:space="preserve">七张决定性图表 —— 配套数据（每图一表，蓝字为原始读数，黑字为公式）</t>
  </si>
  <si>
    <r>
      <rPr>
        <sz val="10"/>
        <rFont val="Noto Sans CJK SC"/>
        <family val="2"/>
      </rPr>
      <t xml:space="preserve">图</t>
    </r>
    <r>
      <rPr>
        <sz val="10"/>
        <rFont val="Arial"/>
        <family val="0"/>
        <charset val="1"/>
      </rPr>
      <t xml:space="preserve">01–04 </t>
    </r>
    <r>
      <rPr>
        <sz val="10"/>
        <rFont val="Noto Sans CJK SC"/>
        <family val="2"/>
      </rPr>
      <t xml:space="preserve">空头腿：</t>
    </r>
    <r>
      <rPr>
        <sz val="10"/>
        <rFont val="Arial"/>
        <family val="0"/>
        <charset val="1"/>
      </rPr>
      <t xml:space="preserve">99spokes </t>
    </r>
    <r>
      <rPr>
        <sz val="10"/>
        <rFont val="Noto Sans CJK SC"/>
        <family val="2"/>
      </rPr>
      <t xml:space="preserve">单一口径（</t>
    </r>
    <r>
      <rPr>
        <sz val="10"/>
        <rFont val="Arial"/>
        <family val="0"/>
        <charset val="1"/>
      </rPr>
      <t xml:space="preserve">MY2026 spec-in </t>
    </r>
    <r>
      <rPr>
        <sz val="10"/>
        <rFont val="Noto Sans CJK SC"/>
        <family val="2"/>
      </rPr>
      <t xml:space="preserve">车型数）；图</t>
    </r>
    <r>
      <rPr>
        <sz val="10"/>
        <rFont val="Arial"/>
        <family val="0"/>
        <charset val="1"/>
      </rPr>
      <t xml:space="preserve">05–07 </t>
    </r>
    <r>
      <rPr>
        <sz val="10"/>
        <rFont val="Noto Sans CJK SC"/>
        <family val="2"/>
      </rPr>
      <t xml:space="preserve">八方主场（</t>
    </r>
    <r>
      <rPr>
        <sz val="10"/>
        <rFont val="Arial"/>
        <family val="0"/>
        <charset val="1"/>
      </rPr>
      <t xml:space="preserve">Heureka.cz / fietsenwinkel.nl / bol.com + Wayback</t>
    </r>
    <r>
      <rPr>
        <sz val="10"/>
        <rFont val="Noto Sans CJK SC"/>
        <family val="2"/>
      </rPr>
      <t xml:space="preserve">）。</t>
    </r>
  </si>
  <si>
    <t xml:space="preserve">所有份额都是车型数或台数，不涉及金额推算。跨年只比份额与方向，不比绝对数。</t>
  </si>
  <si>
    <r>
      <rPr>
        <sz val="10"/>
        <rFont val="Noto Sans CJK SC"/>
        <family val="2"/>
      </rPr>
      <t xml:space="preserve">完整 </t>
    </r>
    <r>
      <rPr>
        <sz val="10"/>
        <rFont val="Arial"/>
        <family val="0"/>
        <charset val="1"/>
      </rPr>
      <t xml:space="preserve">22 </t>
    </r>
    <r>
      <rPr>
        <sz val="10"/>
        <rFont val="Noto Sans CJK SC"/>
        <family val="2"/>
      </rPr>
      <t xml:space="preserve">表明细与复跑参数见 </t>
    </r>
    <r>
      <rPr>
        <sz val="10"/>
        <rFont val="Arial"/>
        <family val="0"/>
        <charset val="1"/>
      </rPr>
      <t xml:space="preserve">bike_supply_chain_mapping.xlsx</t>
    </r>
    <r>
      <rPr>
        <sz val="10"/>
        <rFont val="Noto Sans CJK SC"/>
        <family val="2"/>
      </rPr>
      <t xml:space="preserve">；捷克复跑脚本 </t>
    </r>
    <r>
      <rPr>
        <sz val="10"/>
        <rFont val="Arial"/>
        <family val="0"/>
        <charset val="1"/>
      </rPr>
      <t xml:space="preserve">heureka_harvest.py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</si>
  <si>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生成日期 </t>
    </r>
    <r>
      <rPr>
        <sz val="10"/>
        <rFont val="Arial"/>
        <family val="0"/>
        <charset val="1"/>
      </rPr>
      <t xml:space="preserve">2026-09-06</t>
    </r>
    <r>
      <rPr>
        <sz val="10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</si>
  <si>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01 Shimano </t>
    </r>
    <r>
      <rPr>
        <b val="true"/>
        <sz val="11"/>
        <rFont val="Noto Sans CJK SC"/>
        <family val="2"/>
      </rPr>
      <t xml:space="preserve">传动份额 品类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价格带（</t>
    </r>
    <r>
      <rPr>
        <b val="true"/>
        <sz val="11"/>
        <rFont val="Arial"/>
        <family val="0"/>
        <charset val="1"/>
      </rPr>
      <t xml:space="preserve">MY2026</t>
    </r>
    <r>
      <rPr>
        <b val="true"/>
        <sz val="11"/>
        <rFont val="Noto Sans CJK SC"/>
        <family val="2"/>
      </rPr>
      <t xml:space="preserve">，全部车型含非电动）</t>
    </r>
  </si>
  <si>
    <r>
      <rPr>
        <b val="true"/>
        <sz val="10"/>
        <color rgb="FF16506B"/>
        <rFont val="Noto Sans CJK SC"/>
        <family val="2"/>
      </rPr>
      <t xml:space="preserve">一句话结论：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在中低端和城市车仍是绝对主导（</t>
    </r>
    <r>
      <rPr>
        <b val="true"/>
        <sz val="10"/>
        <color rgb="FF16506B"/>
        <rFont val="Arial"/>
        <family val="0"/>
        <charset val="1"/>
      </rPr>
      <t xml:space="preserve">80–98%</t>
    </r>
    <r>
      <rPr>
        <b val="true"/>
        <sz val="10"/>
        <color rgb="FF16506B"/>
        <rFont val="Noto Sans CJK SC"/>
        <family val="2"/>
      </rPr>
      <t xml:space="preserve">），丢的是公路和山地 </t>
    </r>
    <r>
      <rPr>
        <b val="true"/>
        <sz val="10"/>
        <color rgb="FF16506B"/>
        <rFont val="Arial"/>
        <family val="0"/>
        <charset val="1"/>
      </rPr>
      <t xml:space="preserve">&gt;$6,000 </t>
    </r>
    <r>
      <rPr>
        <b val="true"/>
        <sz val="10"/>
        <color rgb="FF16506B"/>
        <rFont val="Noto Sans CJK SC"/>
        <family val="2"/>
      </rPr>
      <t xml:space="preserve">这两格——单车零件价值最高的两格。（横截面；</t>
    </r>
    <r>
      <rPr>
        <b val="true"/>
        <sz val="10"/>
        <color rgb="FF16506B"/>
        <rFont val="Arial"/>
        <family val="0"/>
        <charset val="1"/>
      </rPr>
      <t xml:space="preserve">MY25→26 </t>
    </r>
    <r>
      <rPr>
        <b val="true"/>
        <sz val="10"/>
        <color rgb="FF16506B"/>
        <rFont val="Noto Sans CJK SC"/>
        <family val="2"/>
      </rPr>
      <t xml:space="preserve">份额持平：公路 </t>
    </r>
    <r>
      <rPr>
        <b val="true"/>
        <sz val="10"/>
        <color rgb="FF16506B"/>
        <rFont val="Arial"/>
        <family val="0"/>
        <charset val="1"/>
      </rPr>
      <t xml:space="preserve">64.0%→63.9%</t>
    </r>
    <r>
      <rPr>
        <b val="true"/>
        <sz val="10"/>
        <color rgb="FF16506B"/>
        <rFont val="Noto Sans CJK SC"/>
        <family val="2"/>
      </rPr>
      <t xml:space="preserve">、山地 </t>
    </r>
    <r>
      <rPr>
        <b val="true"/>
        <sz val="10"/>
        <color rgb="FF16506B"/>
        <rFont val="Arial"/>
        <family val="0"/>
        <charset val="1"/>
      </rPr>
      <t xml:space="preserve">60.7%→60.3%</t>
    </r>
    <r>
      <rPr>
        <b val="true"/>
        <sz val="10"/>
        <color rgb="FF16506B"/>
        <rFont val="Noto Sans CJK SC"/>
        <family val="2"/>
      </rPr>
      <t xml:space="preserve">、山地 </t>
    </r>
    <r>
      <rPr>
        <b val="true"/>
        <sz val="10"/>
        <color rgb="FF16506B"/>
        <rFont val="Arial"/>
        <family val="0"/>
        <charset val="1"/>
      </rPr>
      <t xml:space="preserve">&gt;$6k 40.6%→40.7%</t>
    </r>
    <r>
      <rPr>
        <b val="true"/>
        <sz val="10"/>
        <color rgb="FF16506B"/>
        <rFont val="Noto Sans CJK SC"/>
        <family val="2"/>
      </rPr>
      <t xml:space="preserve">，变化见表 </t>
    </r>
    <r>
      <rPr>
        <b val="true"/>
        <sz val="10"/>
        <color rgb="FF16506B"/>
        <rFont val="Arial"/>
        <family val="0"/>
        <charset val="1"/>
      </rPr>
      <t xml:space="preserve">02</t>
    </r>
    <r>
      <rPr>
        <b val="true"/>
        <sz val="10"/>
        <color rgb="FF16506B"/>
        <rFont val="Noto Sans CJK SC"/>
        <family val="2"/>
      </rPr>
      <t xml:space="preserve">）</t>
    </r>
  </si>
  <si>
    <r>
      <rPr>
        <b val="true"/>
        <sz val="9"/>
        <color rgb="FFFFFFFF"/>
        <rFont val="Noto Sans CJK SC"/>
        <family val="2"/>
      </rPr>
      <t xml:space="preserve">品类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价格带 </t>
    </r>
    <r>
      <rPr>
        <b val="true"/>
        <sz val="9"/>
        <color rgb="FFFFFFFF"/>
        <rFont val="Arial"/>
        <family val="0"/>
        <charset val="1"/>
      </rPr>
      <t xml:space="preserve">(USD)</t>
    </r>
  </si>
  <si>
    <t xml:space="preserve">车型数</t>
  </si>
  <si>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传动</t>
    </r>
  </si>
  <si>
    <r>
      <rPr>
        <b val="true"/>
        <sz val="9"/>
        <color rgb="FFFFFFFF"/>
        <rFont val="Arial"/>
        <family val="0"/>
        <charset val="1"/>
      </rPr>
      <t xml:space="preserve">SRAM </t>
    </r>
    <r>
      <rPr>
        <b val="true"/>
        <sz val="9"/>
        <color rgb="FFFFFFFF"/>
        <rFont val="Noto Sans CJK SC"/>
        <family val="2"/>
      </rPr>
      <t xml:space="preserve">传动</t>
    </r>
  </si>
  <si>
    <t xml:space="preserve">第三名</t>
  </si>
  <si>
    <t xml:space="preserve">第三名款数</t>
  </si>
  <si>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份额</t>
    </r>
  </si>
  <si>
    <r>
      <rPr>
        <b val="true"/>
        <sz val="9"/>
        <color rgb="FFFFFFFF"/>
        <rFont val="Arial"/>
        <family val="0"/>
        <charset val="1"/>
      </rPr>
      <t xml:space="preserve">URL </t>
    </r>
    <r>
      <rPr>
        <b val="true"/>
        <sz val="9"/>
        <color rgb="FFFFFFFF"/>
        <rFont val="Noto Sans CJK SC"/>
        <family val="2"/>
      </rPr>
      <t xml:space="preserve">参数</t>
    </r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</si>
  <si>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&lt;$1,500</t>
    </r>
  </si>
  <si>
    <t xml:space="preserve">Microshift</t>
  </si>
  <si>
    <t xml:space="preserve">category=road&amp;price=0-1500</t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</si>
  <si>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$1,500–3,000</t>
    </r>
  </si>
  <si>
    <t xml:space="preserve">category=road&amp;price=1500-3000</t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</si>
  <si>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$3,000–6,000</t>
    </r>
  </si>
  <si>
    <t xml:space="preserve">Campagnolo</t>
  </si>
  <si>
    <t xml:space="preserve">category=road&amp;price=3000-6000</t>
  </si>
  <si>
    <r>
      <rPr>
        <sz val="10"/>
        <rFont val="Noto Sans CJK SC"/>
        <family val="2"/>
      </rPr>
      <t xml:space="preserve">公路 </t>
    </r>
    <r>
      <rPr>
        <sz val="10"/>
        <rFont val="Arial"/>
        <family val="0"/>
        <charset val="1"/>
      </rPr>
      <t xml:space="preserve">&gt;$6,000</t>
    </r>
  </si>
  <si>
    <t xml:space="preserve">category=road&amp;price=6000-99000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</si>
  <si>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&lt;$1,500</t>
    </r>
  </si>
  <si>
    <t xml:space="preserve">category=mountain&amp;price=0-1500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</si>
  <si>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$1,500–3,000</t>
    </r>
  </si>
  <si>
    <t xml:space="preserve">category=mountain&amp;price=1500-3000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</si>
  <si>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$3,000–6,000</t>
    </r>
  </si>
  <si>
    <t xml:space="preserve">category=mountain&amp;price=3000-6000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</si>
  <si>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&gt;$6,000</t>
    </r>
  </si>
  <si>
    <t xml:space="preserve">category=mountain&amp;price=6000-99000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</si>
  <si>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&lt;$1,500</t>
    </r>
  </si>
  <si>
    <t xml:space="preserve">category=urban&amp;price=0-1500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</si>
  <si>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$1,500–3,000</t>
    </r>
  </si>
  <si>
    <t xml:space="preserve">category=urban&amp;price=1500-3000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</si>
  <si>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$3,000–6,000</t>
    </r>
  </si>
  <si>
    <t xml:space="preserve">category=urban&amp;price=3000-6000</t>
  </si>
  <si>
    <r>
      <rPr>
        <sz val="10"/>
        <rFont val="Noto Sans CJK SC"/>
        <family val="2"/>
      </rPr>
      <t xml:space="preserve">城市 </t>
    </r>
    <r>
      <rPr>
        <sz val="10"/>
        <rFont val="Arial"/>
        <family val="0"/>
        <charset val="1"/>
      </rPr>
      <t xml:space="preserve">&gt;$6,000</t>
    </r>
  </si>
  <si>
    <t xml:space="preserve">category=urban&amp;price=6000-99000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</si>
  <si>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&lt;$1,500</t>
    </r>
  </si>
  <si>
    <t xml:space="preserve">price=0-1500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</si>
  <si>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$1,500–3,000</t>
    </r>
  </si>
  <si>
    <t xml:space="preserve">price=1500-3000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</si>
  <si>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$3,000–6,000</t>
    </r>
  </si>
  <si>
    <t xml:space="preserve">price=3000-6000</t>
  </si>
  <si>
    <r>
      <rPr>
        <sz val="10"/>
        <rFont val="Noto Sans CJK SC"/>
        <family val="2"/>
      </rPr>
      <t xml:space="preserve">全品类 </t>
    </r>
    <r>
      <rPr>
        <sz val="10"/>
        <rFont val="Arial"/>
        <family val="0"/>
        <charset val="1"/>
      </rPr>
      <t xml:space="preserve">&gt;$6,000</t>
    </r>
  </si>
  <si>
    <t xml:space="preserve">price=6000-99000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</si>
  <si>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 </t>
    </r>
    <r>
      <rPr>
        <i val="true"/>
        <sz val="8"/>
        <color rgb="FF666666"/>
        <rFont val="Arial"/>
        <family val="0"/>
        <charset val="1"/>
      </rPr>
      <t xml:space="preserve">URL </t>
    </r>
    <r>
      <rPr>
        <i val="true"/>
        <sz val="8"/>
        <color rgb="FF666666"/>
        <rFont val="Noto Sans CJK SC"/>
        <family val="2"/>
      </rPr>
      <t xml:space="preserve">前缀 </t>
    </r>
    <r>
      <rPr>
        <i val="true"/>
        <sz val="8"/>
        <color rgb="FF666666"/>
        <rFont val="Arial"/>
        <family val="0"/>
        <charset val="1"/>
      </rPr>
      <t xml:space="preserve">99spokes.com/en/bikes?year=2026&amp; </t>
    </r>
    <r>
      <rPr>
        <i val="true"/>
        <sz val="8"/>
        <color rgb="FF666666"/>
        <rFont val="Noto Sans CJK SC"/>
        <family val="2"/>
      </rPr>
      <t xml:space="preserve">；读法：</t>
    </r>
    <r>
      <rPr>
        <i val="true"/>
        <sz val="8"/>
        <color rgb="FF666666"/>
        <rFont val="Arial"/>
        <family val="0"/>
        <charset val="1"/>
      </rPr>
      <t xml:space="preserve">Components </t>
    </r>
    <r>
      <rPr>
        <i val="true"/>
        <sz val="8"/>
        <color rgb="FF666666"/>
        <rFont val="Noto Sans CJK SC"/>
        <family val="2"/>
      </rPr>
      <t xml:space="preserve">下拉 → </t>
    </r>
    <r>
      <rPr>
        <i val="true"/>
        <sz val="8"/>
        <color rgb="FF666666"/>
        <rFont val="Arial"/>
        <family val="0"/>
        <charset val="1"/>
      </rPr>
      <t xml:space="preserve">Groupset Brand </t>
    </r>
    <r>
      <rPr>
        <i val="true"/>
        <sz val="8"/>
        <color rgb="FF666666"/>
        <rFont val="Noto Sans CJK SC"/>
        <family val="2"/>
      </rPr>
      <t xml:space="preserve">括号内计数。</t>
    </r>
  </si>
  <si>
    <r>
      <rPr>
        <i val="true"/>
        <sz val="8"/>
        <color rgb="FF666666"/>
        <rFont val="Noto Sans CJK SC"/>
        <family val="2"/>
      </rPr>
      <t xml:space="preserve">份额分母＝</t>
    </r>
    <r>
      <rPr>
        <i val="true"/>
        <sz val="8"/>
        <color rgb="FF666666"/>
        <rFont val="Arial"/>
        <family val="0"/>
        <charset val="1"/>
      </rPr>
      <t xml:space="preserve">Shimano+SRAM</t>
    </r>
    <r>
      <rPr>
        <i val="true"/>
        <sz val="8"/>
        <color rgb="FF666666"/>
        <rFont val="Noto Sans CJK SC"/>
        <family val="2"/>
      </rPr>
      <t xml:space="preserve">（剔除无套件与长尾品牌）。全部车型口径：含电动与非电动，含公路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山地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城市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青少年</t>
    </r>
    <r>
      <rPr>
        <i val="true"/>
        <sz val="8"/>
        <color rgb="FF666666"/>
        <rFont val="Arial"/>
        <family val="0"/>
        <charset val="1"/>
      </rPr>
      <t xml:space="preserve">/BMX</t>
    </r>
    <r>
      <rPr>
        <i val="true"/>
        <sz val="8"/>
        <color rgb="FF666666"/>
        <rFont val="Noto Sans CJK SC"/>
        <family val="2"/>
      </rPr>
      <t xml:space="preserve">，所以全品类行 ≠ 三品类之和。</t>
    </r>
  </si>
  <si>
    <r>
      <rPr>
        <i val="true"/>
        <sz val="8"/>
        <color rgb="FF666666"/>
        <rFont val="Noto Sans CJK SC"/>
        <family val="2"/>
      </rPr>
      <t xml:space="preserve">公路 </t>
    </r>
    <r>
      <rPr>
        <i val="true"/>
        <sz val="8"/>
        <color rgb="FF666666"/>
        <rFont val="Arial"/>
        <family val="0"/>
        <charset val="1"/>
      </rPr>
      <t xml:space="preserve">&gt;$6k </t>
    </r>
    <r>
      <rPr>
        <i val="true"/>
        <sz val="8"/>
        <color rgb="FF666666"/>
        <rFont val="Noto Sans CJK SC"/>
        <family val="2"/>
      </rPr>
      <t xml:space="preserve">的 </t>
    </r>
    <r>
      <rPr>
        <i val="true"/>
        <sz val="8"/>
        <color rgb="FF666666"/>
        <rFont val="Arial"/>
        <family val="0"/>
        <charset val="1"/>
      </rPr>
      <t xml:space="preserve">SRAM </t>
    </r>
    <r>
      <rPr>
        <i val="true"/>
        <sz val="8"/>
        <color rgb="FF666666"/>
        <rFont val="Noto Sans CJK SC"/>
        <family val="2"/>
      </rPr>
      <t xml:space="preserve">是 </t>
    </r>
    <r>
      <rPr>
        <i val="true"/>
        <sz val="8"/>
        <color rgb="FF666666"/>
        <rFont val="Arial"/>
        <family val="0"/>
        <charset val="1"/>
      </rPr>
      <t xml:space="preserve">Red/Force AXS </t>
    </r>
    <r>
      <rPr>
        <i val="true"/>
        <sz val="8"/>
        <color rgb="FF666666"/>
        <rFont val="Noto Sans CJK SC"/>
        <family val="2"/>
      </rPr>
      <t xml:space="preserve">电变，山地 </t>
    </r>
    <r>
      <rPr>
        <i val="true"/>
        <sz val="8"/>
        <color rgb="FF666666"/>
        <rFont val="Arial"/>
        <family val="0"/>
        <charset val="1"/>
      </rPr>
      <t xml:space="preserve">&gt;$6k </t>
    </r>
    <r>
      <rPr>
        <i val="true"/>
        <sz val="8"/>
        <color rgb="FF666666"/>
        <rFont val="Noto Sans CJK SC"/>
        <family val="2"/>
      </rPr>
      <t xml:space="preserve">是 </t>
    </r>
    <r>
      <rPr>
        <i val="true"/>
        <sz val="8"/>
        <color rgb="FF666666"/>
        <rFont val="Arial"/>
        <family val="0"/>
        <charset val="1"/>
      </rPr>
      <t xml:space="preserve">XX/X0 Transmission</t>
    </r>
    <r>
      <rPr>
        <i val="true"/>
        <sz val="8"/>
        <color rgb="FF666666"/>
        <rFont val="Noto Sans CJK SC"/>
        <family val="2"/>
      </rPr>
      <t xml:space="preserve">；城市车 </t>
    </r>
    <r>
      <rPr>
        <i val="true"/>
        <sz val="8"/>
        <color rgb="FF666666"/>
        <rFont val="Arial"/>
        <family val="0"/>
        <charset val="1"/>
      </rPr>
      <t xml:space="preserve">SRAM </t>
    </r>
    <r>
      <rPr>
        <i val="true"/>
        <sz val="8"/>
        <color rgb="FF666666"/>
        <rFont val="Noto Sans CJK SC"/>
        <family val="2"/>
      </rPr>
      <t xml:space="preserve">各价格带 ≤</t>
    </r>
    <r>
      <rPr>
        <i val="true"/>
        <sz val="8"/>
        <color rgb="FF666666"/>
        <rFont val="Arial"/>
        <family val="0"/>
        <charset val="1"/>
      </rPr>
      <t xml:space="preserve">21 </t>
    </r>
    <r>
      <rPr>
        <i val="true"/>
        <sz val="8"/>
        <color rgb="FF666666"/>
        <rFont val="Noto Sans CJK SC"/>
        <family val="2"/>
      </rPr>
      <t xml:space="preserve">款，基本不参与。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</si>
  <si>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02 </t>
    </r>
    <r>
      <rPr>
        <b val="true"/>
        <sz val="11"/>
        <rFont val="Noto Sans CJK SC"/>
        <family val="2"/>
      </rPr>
      <t xml:space="preserve">山地 </t>
    </r>
    <r>
      <rPr>
        <b val="true"/>
        <sz val="11"/>
        <rFont val="Arial"/>
        <family val="0"/>
        <charset val="1"/>
      </rPr>
      <t xml:space="preserve">&gt;$6,000 </t>
    </r>
    <r>
      <rPr>
        <b val="true"/>
        <sz val="11"/>
        <rFont val="Noto Sans CJK SC"/>
        <family val="2"/>
      </rPr>
      <t xml:space="preserve">同价位档位迁移（</t>
    </r>
    <r>
      <rPr>
        <b val="true"/>
        <sz val="11"/>
        <rFont val="Arial"/>
        <family val="0"/>
        <charset val="1"/>
      </rPr>
      <t xml:space="preserve">MY2025 → MY2026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</si>
  <si>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0"/>
        <color rgb="FF16506B"/>
        <rFont val="Noto Sans CJK SC"/>
        <family val="2"/>
      </rPr>
      <t xml:space="preserve">一句话结论：</t>
    </r>
    <r>
      <rPr>
        <b val="true"/>
        <sz val="10"/>
        <color rgb="FF16506B"/>
        <rFont val="Arial"/>
        <family val="0"/>
        <charset val="1"/>
      </rPr>
      <t xml:space="preserve">$6,000 </t>
    </r>
    <r>
      <rPr>
        <b val="true"/>
        <sz val="10"/>
        <color rgb="FF16506B"/>
        <rFont val="Noto Sans CJK SC"/>
        <family val="2"/>
      </rPr>
      <t xml:space="preserve">以上的山地车，用 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的比例没变（</t>
    </r>
    <r>
      <rPr>
        <b val="true"/>
        <sz val="10"/>
        <color rgb="FF16506B"/>
        <rFont val="Arial"/>
        <family val="0"/>
        <charset val="1"/>
      </rPr>
      <t xml:space="preserve">40.6%→40.7%</t>
    </r>
    <r>
      <rPr>
        <b val="true"/>
        <sz val="10"/>
        <color rgb="FF16506B"/>
        <rFont val="Noto Sans CJK SC"/>
        <family val="2"/>
      </rPr>
      <t xml:space="preserve">），但装的 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套件在降档：旗舰 </t>
    </r>
    <r>
      <rPr>
        <b val="true"/>
        <sz val="10"/>
        <color rgb="FF16506B"/>
        <rFont val="Arial"/>
        <family val="0"/>
        <charset val="1"/>
      </rPr>
      <t xml:space="preserve">XTR −33.5%</t>
    </r>
    <r>
      <rPr>
        <b val="true"/>
        <sz val="10"/>
        <color rgb="FF16506B"/>
        <rFont val="Noto Sans CJK SC"/>
        <family val="2"/>
      </rPr>
      <t xml:space="preserve">、次旗舰 </t>
    </r>
    <r>
      <rPr>
        <b val="true"/>
        <sz val="10"/>
        <color rgb="FF16506B"/>
        <rFont val="Arial"/>
        <family val="0"/>
        <charset val="1"/>
      </rPr>
      <t xml:space="preserve">XT −23.6%</t>
    </r>
    <r>
      <rPr>
        <b val="true"/>
        <sz val="10"/>
        <color rgb="FF16506B"/>
        <rFont val="Noto Sans CJK SC"/>
        <family val="2"/>
      </rPr>
      <t xml:space="preserve">、中端 </t>
    </r>
    <r>
      <rPr>
        <b val="true"/>
        <sz val="10"/>
        <color rgb="FF16506B"/>
        <rFont val="Arial"/>
        <family val="0"/>
        <charset val="1"/>
      </rPr>
      <t xml:space="preserve">SLX +41%——</t>
    </r>
    <r>
      <rPr>
        <b val="true"/>
        <sz val="10"/>
        <color rgb="FF16506B"/>
        <rFont val="Noto Sans CJK SC"/>
        <family val="2"/>
      </rPr>
      <t xml:space="preserve">同样的车价，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收的零件钱变少。</t>
    </r>
  </si>
  <si>
    <t xml:space="preserve">档位</t>
  </si>
  <si>
    <t xml:space="preserve">MY2025</t>
  </si>
  <si>
    <t xml:space="preserve">MY2026</t>
  </si>
  <si>
    <t xml:space="preserve">变化</t>
  </si>
  <si>
    <r>
      <rPr>
        <sz val="10"/>
        <rFont val="Arial"/>
        <family val="0"/>
        <charset val="1"/>
      </rPr>
      <t xml:space="preserve">L5 XTR</t>
    </r>
    <r>
      <rPr>
        <sz val="10"/>
        <rFont val="Noto Sans CJK SC"/>
        <family val="2"/>
      </rPr>
      <t xml:space="preserve">（旗舰）</t>
    </r>
  </si>
  <si>
    <t xml:space="preserve">category=mountain&amp;price=6000-99000&amp;year=2025|2026 → Groupset Level=5</t>
  </si>
  <si>
    <r>
      <rPr>
        <sz val="10"/>
        <rFont val="Arial"/>
        <family val="0"/>
        <charset val="1"/>
      </rPr>
      <t xml:space="preserve">L4 XT</t>
    </r>
    <r>
      <rPr>
        <sz val="10"/>
        <rFont val="Noto Sans CJK SC"/>
        <family val="2"/>
      </rPr>
      <t xml:space="preserve">（次旗舰）</t>
    </r>
  </si>
  <si>
    <t xml:space="preserve">… groupsetLevel=4</t>
  </si>
  <si>
    <r>
      <rPr>
        <sz val="10"/>
        <rFont val="Arial"/>
        <family val="0"/>
        <charset val="1"/>
      </rPr>
      <t xml:space="preserve">L3 SLX</t>
    </r>
    <r>
      <rPr>
        <sz val="10"/>
        <rFont val="Noto Sans CJK SC"/>
        <family val="2"/>
      </rPr>
      <t xml:space="preserve">（中端）</t>
    </r>
  </si>
  <si>
    <t xml:space="preserve">… groupsetLevel=3</t>
  </si>
  <si>
    <r>
      <rPr>
        <sz val="10"/>
        <rFont val="Noto Sans CJK SC"/>
        <family val="2"/>
      </rPr>
      <t xml:space="preserve">山地 </t>
    </r>
    <r>
      <rPr>
        <sz val="10"/>
        <rFont val="Arial"/>
        <family val="0"/>
        <charset val="1"/>
      </rPr>
      <t xml:space="preserve">&gt;$6k </t>
    </r>
    <r>
      <rPr>
        <sz val="10"/>
        <rFont val="Noto Sans CJK SC"/>
        <family val="2"/>
      </rPr>
      <t xml:space="preserve">车型总数</t>
    </r>
  </si>
  <si>
    <r>
      <rPr>
        <sz val="10"/>
        <rFont val="Arial"/>
        <family val="0"/>
        <charset val="1"/>
      </rPr>
      <t xml:space="preserve">Shimano </t>
    </r>
    <r>
      <rPr>
        <sz val="10"/>
        <rFont val="Noto Sans CJK SC"/>
        <family val="2"/>
      </rPr>
      <t xml:space="preserve">传动份额</t>
    </r>
  </si>
  <si>
    <t xml:space="preserve">Groupset Brand: Shimano/(Shimano+SRAM)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</si>
  <si>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</t>
    </r>
  </si>
  <si>
    <r>
      <rPr>
        <i val="true"/>
        <sz val="8"/>
        <color rgb="FF666666"/>
        <rFont val="Noto Sans CJK SC"/>
        <family val="2"/>
      </rPr>
      <t xml:space="preserve">同价位带内比较排除了「车更贵所以档位更高」的混淆，是「份额不丢、单车 </t>
    </r>
    <r>
      <rPr>
        <i val="true"/>
        <sz val="8"/>
        <color rgb="FF666666"/>
        <rFont val="Arial"/>
        <family val="0"/>
        <charset val="1"/>
      </rPr>
      <t xml:space="preserve">content </t>
    </r>
    <r>
      <rPr>
        <i val="true"/>
        <sz val="8"/>
        <color rgb="FF666666"/>
        <rFont val="Noto Sans CJK SC"/>
        <family val="2"/>
      </rPr>
      <t xml:space="preserve">下降」的直接证据。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</si>
  <si>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03 </t>
    </r>
    <r>
      <rPr>
        <b val="true"/>
        <sz val="11"/>
        <rFont val="Noto Sans CJK SC"/>
        <family val="2"/>
      </rPr>
      <t xml:space="preserve">山地电助力车型电机品牌份额（</t>
    </r>
    <r>
      <rPr>
        <b val="true"/>
        <sz val="11"/>
        <rFont val="Arial"/>
        <family val="0"/>
        <charset val="1"/>
      </rPr>
      <t xml:space="preserve">MY2025 / 2026 / 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</si>
  <si>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0"/>
        <color rgb="FF16506B"/>
        <rFont val="Noto Sans CJK SC"/>
        <family val="2"/>
      </rPr>
      <t xml:space="preserve">一句话结论：电动山地车的电机：大疆 </t>
    </r>
    <r>
      <rPr>
        <b val="true"/>
        <sz val="10"/>
        <color rgb="FF16506B"/>
        <rFont val="Arial"/>
        <family val="0"/>
        <charset val="1"/>
      </rPr>
      <t xml:space="preserve">DJI Avinox </t>
    </r>
    <r>
      <rPr>
        <b val="true"/>
        <sz val="10"/>
        <color rgb="FF16506B"/>
        <rFont val="Noto Sans CJK SC"/>
        <family val="2"/>
      </rPr>
      <t xml:space="preserve">两年从 </t>
    </r>
    <r>
      <rPr>
        <b val="true"/>
        <sz val="10"/>
        <color rgb="FF16506B"/>
        <rFont val="Arial"/>
        <family val="0"/>
        <charset val="1"/>
      </rPr>
      <t xml:space="preserve">1% </t>
    </r>
    <r>
      <rPr>
        <b val="true"/>
        <sz val="10"/>
        <color rgb="FF16506B"/>
        <rFont val="Noto Sans CJK SC"/>
        <family val="2"/>
      </rPr>
      <t xml:space="preserve">冲到 </t>
    </r>
    <r>
      <rPr>
        <b val="true"/>
        <sz val="10"/>
        <color rgb="FF16506B"/>
        <rFont val="Arial"/>
        <family val="0"/>
        <charset val="1"/>
      </rPr>
      <t xml:space="preserve">25%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从 </t>
    </r>
    <r>
      <rPr>
        <b val="true"/>
        <sz val="10"/>
        <color rgb="FF16506B"/>
        <rFont val="Arial"/>
        <family val="0"/>
        <charset val="1"/>
      </rPr>
      <t xml:space="preserve">19% </t>
    </r>
    <r>
      <rPr>
        <b val="true"/>
        <sz val="10"/>
        <color rgb="FF16506B"/>
        <rFont val="Noto Sans CJK SC"/>
        <family val="2"/>
      </rPr>
      <t xml:space="preserve">掉到 </t>
    </r>
    <r>
      <rPr>
        <b val="true"/>
        <sz val="10"/>
        <color rgb="FF16506B"/>
        <rFont val="Arial"/>
        <family val="0"/>
        <charset val="1"/>
      </rPr>
      <t xml:space="preserve">2%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Bosch </t>
    </r>
    <r>
      <rPr>
        <b val="true"/>
        <sz val="10"/>
        <color rgb="FF16506B"/>
        <rFont val="Noto Sans CJK SC"/>
        <family val="2"/>
      </rPr>
      <t xml:space="preserve">也在丢——高端电动山地车正在换电机供应商。</t>
    </r>
  </si>
  <si>
    <t xml:space="preserve">车型年</t>
  </si>
  <si>
    <t xml:space="preserve">山地电助力车型数</t>
  </si>
  <si>
    <t xml:space="preserve">Bosch</t>
  </si>
  <si>
    <t xml:space="preserve">Shimano</t>
  </si>
  <si>
    <t xml:space="preserve">Avinox (DJI)</t>
  </si>
  <si>
    <t xml:space="preserve">TQ</t>
  </si>
  <si>
    <t xml:space="preserve">Yamaha</t>
  </si>
  <si>
    <r>
      <rPr>
        <b val="true"/>
        <sz val="9"/>
        <color rgb="FFFFFFFF"/>
        <rFont val="Arial"/>
        <family val="0"/>
        <charset val="1"/>
      </rPr>
      <t xml:space="preserve">Bosch </t>
    </r>
    <r>
      <rPr>
        <b val="true"/>
        <sz val="9"/>
        <color rgb="FFFFFFFF"/>
        <rFont val="Noto Sans CJK SC"/>
        <family val="2"/>
      </rPr>
      <t xml:space="preserve">份额</t>
    </r>
  </si>
  <si>
    <r>
      <rPr>
        <b val="true"/>
        <sz val="9"/>
        <color rgb="FFFFFFFF"/>
        <rFont val="Arial"/>
        <family val="0"/>
        <charset val="1"/>
      </rPr>
      <t xml:space="preserve">Avinox </t>
    </r>
    <r>
      <rPr>
        <b val="true"/>
        <sz val="9"/>
        <color rgb="FFFFFFFF"/>
        <rFont val="Noto Sans CJK SC"/>
        <family val="2"/>
      </rPr>
      <t xml:space="preserve">份额</t>
    </r>
  </si>
  <si>
    <r>
      <rPr>
        <b val="true"/>
        <sz val="9"/>
        <color rgb="FFFFFFFF"/>
        <rFont val="Arial"/>
        <family val="0"/>
        <charset val="1"/>
      </rPr>
      <t xml:space="preserve">TQ </t>
    </r>
    <r>
      <rPr>
        <b val="true"/>
        <sz val="9"/>
        <color rgb="FFFFFFFF"/>
        <rFont val="Noto Sans CJK SC"/>
        <family val="2"/>
      </rPr>
      <t xml:space="preserve">份额</t>
    </r>
  </si>
  <si>
    <t xml:space="preserve">MY2027 *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</si>
  <si>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 </t>
    </r>
    <r>
      <rPr>
        <i val="true"/>
        <sz val="8"/>
        <color rgb="FF666666"/>
        <rFont val="Arial"/>
        <family val="0"/>
        <charset val="1"/>
      </rPr>
      <t xml:space="preserve">URL</t>
    </r>
    <r>
      <rPr>
        <i val="true"/>
        <sz val="8"/>
        <color rgb="FF666666"/>
        <rFont val="Noto Sans CJK SC"/>
        <family val="2"/>
      </rPr>
      <t xml:space="preserve">：</t>
    </r>
    <r>
      <rPr>
        <i val="true"/>
        <sz val="8"/>
        <color rgb="FF666666"/>
        <rFont val="Arial"/>
        <family val="0"/>
        <charset val="1"/>
      </rPr>
      <t xml:space="preserve">category=mountain&amp;year=YYYY → E-Bike </t>
    </r>
    <r>
      <rPr>
        <i val="true"/>
        <sz val="8"/>
        <color rgb="FF666666"/>
        <rFont val="Noto Sans CJK SC"/>
        <family val="2"/>
      </rPr>
      <t xml:space="preserve">下拉 → </t>
    </r>
    <r>
      <rPr>
        <i val="true"/>
        <sz val="8"/>
        <color rgb="FF666666"/>
        <rFont val="Arial"/>
        <family val="0"/>
        <charset val="1"/>
      </rPr>
      <t xml:space="preserve">Motor Manufacturer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</si>
  <si>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Arial"/>
        <family val="0"/>
        <charset val="1"/>
      </rPr>
      <t xml:space="preserve">* MY2027 </t>
    </r>
    <r>
      <rPr>
        <i val="true"/>
        <sz val="8"/>
        <color rgb="FF666666"/>
        <rFont val="Noto Sans CJK SC"/>
        <family val="2"/>
      </rPr>
      <t xml:space="preserve">仅录入约 </t>
    </r>
    <r>
      <rPr>
        <i val="true"/>
        <sz val="8"/>
        <color rgb="FF666666"/>
        <rFont val="Arial"/>
        <family val="0"/>
        <charset val="1"/>
      </rPr>
      <t xml:space="preserve">14%</t>
    </r>
    <r>
      <rPr>
        <i val="true"/>
        <sz val="8"/>
        <color rgb="FF666666"/>
        <rFont val="Noto Sans CJK SC"/>
        <family val="2"/>
      </rPr>
      <t xml:space="preserve">，偏向首发的高端 </t>
    </r>
    <r>
      <rPr>
        <i val="true"/>
        <sz val="8"/>
        <color rgb="FF666666"/>
        <rFont val="Arial"/>
        <family val="0"/>
        <charset val="1"/>
      </rPr>
      <t xml:space="preserve">eMTB </t>
    </r>
    <r>
      <rPr>
        <i val="true"/>
        <sz val="8"/>
        <color rgb="FF666666"/>
        <rFont val="Noto Sans CJK SC"/>
        <family val="2"/>
      </rPr>
      <t xml:space="preserve">品牌（</t>
    </r>
    <r>
      <rPr>
        <i val="true"/>
        <sz val="8"/>
        <color rgb="FF666666"/>
        <rFont val="Arial"/>
        <family val="0"/>
        <charset val="1"/>
      </rPr>
      <t xml:space="preserve">Avinox/TQ </t>
    </r>
    <r>
      <rPr>
        <i val="true"/>
        <sz val="8"/>
        <color rgb="FF666666"/>
        <rFont val="Noto Sans CJK SC"/>
        <family val="2"/>
      </rPr>
      <t xml:space="preserve">主场），</t>
    </r>
    <r>
      <rPr>
        <i val="true"/>
        <sz val="8"/>
        <color rgb="FF666666"/>
        <rFont val="Arial"/>
        <family val="0"/>
        <charset val="1"/>
      </rPr>
      <t xml:space="preserve">Shimano </t>
    </r>
    <r>
      <rPr>
        <i val="true"/>
        <sz val="8"/>
        <color rgb="FF666666"/>
        <rFont val="Noto Sans CJK SC"/>
        <family val="2"/>
      </rPr>
      <t xml:space="preserve">客户（</t>
    </r>
    <r>
      <rPr>
        <i val="true"/>
        <sz val="8"/>
        <color rgb="FF666666"/>
        <rFont val="Arial"/>
        <family val="0"/>
        <charset val="1"/>
      </rPr>
      <t xml:space="preserve">Orbea/Merida</t>
    </r>
    <r>
      <rPr>
        <i val="true"/>
        <sz val="8"/>
        <color rgb="FF666666"/>
        <rFont val="Noto Sans CJK SC"/>
        <family val="2"/>
      </rPr>
      <t xml:space="preserve">）晚录入 → 只读方向不读水平。</t>
    </r>
  </si>
  <si>
    <r>
      <rPr>
        <i val="true"/>
        <sz val="8"/>
        <color rgb="FF666666"/>
        <rFont val="Noto Sans CJK SC"/>
        <family val="2"/>
      </rPr>
      <t xml:space="preserve">山地 </t>
    </r>
    <r>
      <rPr>
        <i val="true"/>
        <sz val="8"/>
        <color rgb="FF666666"/>
        <rFont val="Arial"/>
        <family val="0"/>
        <charset val="1"/>
      </rPr>
      <t xml:space="preserve">&gt;$6,000 </t>
    </r>
    <r>
      <rPr>
        <i val="true"/>
        <sz val="8"/>
        <color rgb="FF666666"/>
        <rFont val="Noto Sans CJK SC"/>
        <family val="2"/>
      </rPr>
      <t xml:space="preserve">格 </t>
    </r>
    <r>
      <rPr>
        <i val="true"/>
        <sz val="8"/>
        <color rgb="FF666666"/>
        <rFont val="Arial"/>
        <family val="0"/>
        <charset val="1"/>
      </rPr>
      <t xml:space="preserve">MY25→26</t>
    </r>
    <r>
      <rPr>
        <i val="true"/>
        <sz val="8"/>
        <color rgb="FF666666"/>
        <rFont val="Noto Sans CJK SC"/>
        <family val="2"/>
      </rPr>
      <t xml:space="preserve">：</t>
    </r>
    <r>
      <rPr>
        <i val="true"/>
        <sz val="8"/>
        <color rgb="FF666666"/>
        <rFont val="Arial"/>
        <family val="0"/>
        <charset val="1"/>
      </rPr>
      <t xml:space="preserve">Bosch 52.1%→46.9%</t>
    </r>
    <r>
      <rPr>
        <i val="true"/>
        <sz val="8"/>
        <color rgb="FF666666"/>
        <rFont val="Noto Sans CJK SC"/>
        <family val="2"/>
      </rPr>
      <t xml:space="preserve">（−</t>
    </r>
    <r>
      <rPr>
        <i val="true"/>
        <sz val="8"/>
        <color rgb="FF666666"/>
        <rFont val="Arial"/>
        <family val="0"/>
        <charset val="1"/>
      </rPr>
      <t xml:space="preserve">5.2pp</t>
    </r>
    <r>
      <rPr>
        <i val="true"/>
        <sz val="8"/>
        <color rgb="FF666666"/>
        <rFont val="Noto Sans CJK SC"/>
        <family val="2"/>
      </rPr>
      <t xml:space="preserve">）、</t>
    </r>
    <r>
      <rPr>
        <i val="true"/>
        <sz val="8"/>
        <color rgb="FF666666"/>
        <rFont val="Arial"/>
        <family val="0"/>
        <charset val="1"/>
      </rPr>
      <t xml:space="preserve">Shimano 16.3%→13.9%</t>
    </r>
    <r>
      <rPr>
        <i val="true"/>
        <sz val="8"/>
        <color rgb="FF666666"/>
        <rFont val="Noto Sans CJK SC"/>
        <family val="2"/>
      </rPr>
      <t xml:space="preserve">（−</t>
    </r>
    <r>
      <rPr>
        <i val="true"/>
        <sz val="8"/>
        <color rgb="FF666666"/>
        <rFont val="Arial"/>
        <family val="0"/>
        <charset val="1"/>
      </rPr>
      <t xml:space="preserve">2.4pp</t>
    </r>
    <r>
      <rPr>
        <i val="true"/>
        <sz val="8"/>
        <color rgb="FF666666"/>
        <rFont val="Noto Sans CJK SC"/>
        <family val="2"/>
      </rPr>
      <t xml:space="preserve">）、</t>
    </r>
    <r>
      <rPr>
        <i val="true"/>
        <sz val="8"/>
        <color rgb="FF666666"/>
        <rFont val="Arial"/>
        <family val="0"/>
        <charset val="1"/>
      </rPr>
      <t xml:space="preserve">Avinox 1.9%→7.4%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+5.5pp</t>
    </r>
    <r>
      <rPr>
        <i val="true"/>
        <sz val="8"/>
        <color rgb="FF666666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</si>
  <si>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04 </t>
    </r>
    <r>
      <rPr>
        <b val="true"/>
        <sz val="11"/>
        <rFont val="Noto Sans CJK SC"/>
        <family val="2"/>
      </rPr>
      <t xml:space="preserve">配置 </t>
    </r>
    <r>
      <rPr>
        <b val="true"/>
        <sz val="11"/>
        <rFont val="Arial"/>
        <family val="0"/>
        <charset val="1"/>
      </rPr>
      <t xml:space="preserve">Shimano </t>
    </r>
    <r>
      <rPr>
        <b val="true"/>
        <sz val="11"/>
        <rFont val="Noto Sans CJK SC"/>
        <family val="2"/>
      </rPr>
      <t xml:space="preserve">电机的车型按整车品牌拆分（</t>
    </r>
    <r>
      <rPr>
        <b val="true"/>
        <sz val="11"/>
        <rFont val="Arial"/>
        <family val="0"/>
        <charset val="1"/>
      </rPr>
      <t xml:space="preserve">MY2026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</si>
  <si>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0"/>
        <color rgb="FF16506B"/>
        <rFont val="Noto Sans CJK SC"/>
        <family val="2"/>
      </rPr>
      <t xml:space="preserve">一句话结论：美利达电动车六成装 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电机，</t>
    </r>
    <r>
      <rPr>
        <b val="true"/>
        <sz val="10"/>
        <color rgb="FF16506B"/>
        <rFont val="Arial"/>
        <family val="0"/>
        <charset val="1"/>
      </rPr>
      <t xml:space="preserve">Trek / Specialized / </t>
    </r>
    <r>
      <rPr>
        <b val="true"/>
        <sz val="10"/>
        <color rgb="FF16506B"/>
        <rFont val="Noto Sans CJK SC"/>
        <family val="2"/>
      </rPr>
      <t xml:space="preserve">捷安特一台都不装；</t>
    </r>
    <r>
      <rPr>
        <b val="true"/>
        <sz val="10"/>
        <color rgb="FF16506B"/>
        <rFont val="Arial"/>
        <family val="0"/>
        <charset val="1"/>
      </rPr>
      <t xml:space="preserve">Shimano </t>
    </r>
    <r>
      <rPr>
        <b val="true"/>
        <sz val="10"/>
        <color rgb="FF16506B"/>
        <rFont val="Noto Sans CJK SC"/>
        <family val="2"/>
      </rPr>
      <t xml:space="preserve">电机被 </t>
    </r>
    <r>
      <rPr>
        <b val="true"/>
        <sz val="10"/>
        <color rgb="FF16506B"/>
        <rFont val="Arial"/>
        <family val="0"/>
        <charset val="1"/>
      </rPr>
      <t xml:space="preserve">DJI </t>
    </r>
    <r>
      <rPr>
        <b val="true"/>
        <sz val="10"/>
        <color rgb="FF16506B"/>
        <rFont val="Noto Sans CJK SC"/>
        <family val="2"/>
      </rPr>
      <t xml:space="preserve">挤出高端 </t>
    </r>
    <r>
      <rPr>
        <b val="true"/>
        <sz val="10"/>
        <color rgb="FF16506B"/>
        <rFont val="Arial"/>
        <family val="0"/>
        <charset val="1"/>
      </rPr>
      <t xml:space="preserve">eMTB </t>
    </r>
    <r>
      <rPr>
        <b val="true"/>
        <sz val="10"/>
        <color rgb="FF16506B"/>
        <rFont val="Noto Sans CJK SC"/>
        <family val="2"/>
      </rPr>
      <t xml:space="preserve">时，先卖不动的是美利达。</t>
    </r>
  </si>
  <si>
    <t xml:space="preserve">整车品牌</t>
  </si>
  <si>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电机车型数</t>
    </r>
  </si>
  <si>
    <r>
      <rPr>
        <b val="true"/>
        <sz val="9"/>
        <color rgb="FFFFFFFF"/>
        <rFont val="Noto Sans CJK SC"/>
        <family val="2"/>
      </rPr>
      <t xml:space="preserve">占 </t>
    </r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电机总数</t>
    </r>
  </si>
  <si>
    <r>
      <rPr>
        <b val="true"/>
        <sz val="9"/>
        <color rgb="FFFFFFFF"/>
        <rFont val="Noto Sans CJK SC"/>
        <family val="2"/>
      </rPr>
      <t xml:space="preserve">该品牌 </t>
    </r>
    <r>
      <rPr>
        <b val="true"/>
        <sz val="9"/>
        <color rgb="FFFFFFFF"/>
        <rFont val="Arial"/>
        <family val="0"/>
        <charset val="1"/>
      </rPr>
      <t xml:space="preserve">Bosch </t>
    </r>
    <r>
      <rPr>
        <b val="true"/>
        <sz val="9"/>
        <color rgb="FFFFFFFF"/>
        <rFont val="Noto Sans CJK SC"/>
        <family val="2"/>
      </rPr>
      <t xml:space="preserve">电机车型数</t>
    </r>
  </si>
  <si>
    <r>
      <rPr>
        <b val="true"/>
        <sz val="9"/>
        <color rgb="FFFFFFFF"/>
        <rFont val="Noto Sans CJK SC"/>
        <family val="2"/>
      </rPr>
      <t xml:space="preserve">该品牌 </t>
    </r>
    <r>
      <rPr>
        <b val="true"/>
        <sz val="9"/>
        <color rgb="FFFFFFFF"/>
        <rFont val="Arial"/>
        <family val="0"/>
        <charset val="1"/>
      </rPr>
      <t xml:space="preserve">Shimano </t>
    </r>
    <r>
      <rPr>
        <b val="true"/>
        <sz val="9"/>
        <color rgb="FFFFFFFF"/>
        <rFont val="Noto Sans CJK SC"/>
        <family val="2"/>
      </rPr>
      <t xml:space="preserve">传动份额</t>
    </r>
  </si>
  <si>
    <t xml:space="preserve">Orbea</t>
  </si>
  <si>
    <r>
      <rPr>
        <sz val="10"/>
        <rFont val="Arial"/>
        <family val="0"/>
        <charset val="1"/>
      </rPr>
      <t xml:space="preserve">Merida </t>
    </r>
    <r>
      <rPr>
        <sz val="10"/>
        <rFont val="Noto Sans CJK SC"/>
        <family val="2"/>
      </rPr>
      <t xml:space="preserve">美利达</t>
    </r>
  </si>
  <si>
    <r>
      <rPr>
        <sz val="10"/>
        <rFont val="Noto Sans CJK SC"/>
        <family val="2"/>
      </rPr>
      <t xml:space="preserve">其余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个品牌合计</t>
    </r>
  </si>
  <si>
    <t xml:space="preserve">合计</t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</si>
  <si>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99spokes.com </t>
    </r>
    <r>
      <rPr>
        <i val="true"/>
        <sz val="8"/>
        <color rgb="FF666666"/>
        <rFont val="Noto Sans CJK SC"/>
        <family val="2"/>
      </rPr>
      <t xml:space="preserve">整车数据库筛选器 </t>
    </r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计数，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读取。单位＝被配置该零件的车型数（</t>
    </r>
    <r>
      <rPr>
        <i val="true"/>
        <sz val="8"/>
        <color rgb="FF666666"/>
        <rFont val="Arial"/>
        <family val="0"/>
        <charset val="1"/>
      </rPr>
      <t xml:space="preserve">spec-in</t>
    </r>
    <r>
      <rPr>
        <i val="true"/>
        <sz val="8"/>
        <color rgb="FF666666"/>
        <rFont val="Noto Sans CJK SC"/>
        <family val="2"/>
      </rPr>
      <t xml:space="preserve">），非销量。 </t>
    </r>
    <r>
      <rPr>
        <i val="true"/>
        <sz val="8"/>
        <color rgb="FF666666"/>
        <rFont val="Arial"/>
        <family val="0"/>
        <charset val="1"/>
      </rPr>
      <t xml:space="preserve">URL</t>
    </r>
    <r>
      <rPr>
        <i val="true"/>
        <sz val="8"/>
        <color rgb="FF666666"/>
        <rFont val="Noto Sans CJK SC"/>
        <family val="2"/>
      </rPr>
      <t xml:space="preserve">：</t>
    </r>
    <r>
      <rPr>
        <i val="true"/>
        <sz val="8"/>
        <color rgb="FF666666"/>
        <rFont val="Arial"/>
        <family val="0"/>
        <charset val="1"/>
      </rPr>
      <t xml:space="preserve">year=2026&amp;motorMakerId=shimano → Brand </t>
    </r>
    <r>
      <rPr>
        <i val="true"/>
        <sz val="8"/>
        <color rgb="FF666666"/>
        <rFont val="Noto Sans CJK SC"/>
        <family val="2"/>
      </rPr>
      <t xml:space="preserve">下拉。</t>
    </r>
  </si>
  <si>
    <r>
      <rPr>
        <i val="true"/>
        <sz val="8"/>
        <color rgb="FF666666"/>
        <rFont val="Arial"/>
        <family val="0"/>
        <charset val="1"/>
      </rPr>
      <t xml:space="preserve">Trek / Specialized / Giant / CUBE / Scott </t>
    </r>
    <r>
      <rPr>
        <i val="true"/>
        <sz val="8"/>
        <color rgb="FF666666"/>
        <rFont val="Noto Sans CJK SC"/>
        <family val="2"/>
      </rPr>
      <t xml:space="preserve">的 </t>
    </r>
    <r>
      <rPr>
        <i val="true"/>
        <sz val="8"/>
        <color rgb="FF666666"/>
        <rFont val="Arial"/>
        <family val="0"/>
        <charset val="1"/>
      </rPr>
      <t xml:space="preserve">Shimano </t>
    </r>
    <r>
      <rPr>
        <i val="true"/>
        <sz val="8"/>
        <color rgb="FF666666"/>
        <rFont val="Noto Sans CJK SC"/>
        <family val="2"/>
      </rPr>
      <t xml:space="preserve">电机配置数均为 </t>
    </r>
    <r>
      <rPr>
        <i val="true"/>
        <sz val="8"/>
        <color rgb="FF666666"/>
        <rFont val="Arial"/>
        <family val="0"/>
        <charset val="1"/>
      </rPr>
      <t xml:space="preserve">0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CUBE 86 </t>
    </r>
    <r>
      <rPr>
        <i val="true"/>
        <sz val="8"/>
        <color rgb="FF666666"/>
        <rFont val="Noto Sans CJK SC"/>
        <family val="2"/>
      </rPr>
      <t xml:space="preserve">款全部 </t>
    </r>
    <r>
      <rPr>
        <i val="true"/>
        <sz val="8"/>
        <color rgb="FF666666"/>
        <rFont val="Arial"/>
        <family val="0"/>
        <charset val="1"/>
      </rPr>
      <t xml:space="preserve">Bosch</t>
    </r>
    <r>
      <rPr>
        <i val="true"/>
        <sz val="8"/>
        <color rgb="FF666666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</si>
  <si>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05 </t>
    </r>
    <r>
      <rPr>
        <b val="true"/>
        <sz val="11"/>
        <rFont val="Noto Sans CJK SC"/>
        <family val="2"/>
      </rPr>
      <t xml:space="preserve">荷兰 </t>
    </r>
    <r>
      <rPr>
        <b val="true"/>
        <sz val="11"/>
        <rFont val="Arial"/>
        <family val="0"/>
        <charset val="1"/>
      </rPr>
      <t xml:space="preserve">bol.com</t>
    </r>
    <r>
      <rPr>
        <b val="true"/>
        <sz val="11"/>
        <rFont val="Noto Sans CJK SC"/>
        <family val="2"/>
      </rPr>
      <t xml:space="preserve">：八方占中国轮毂电机品牌合计的比重</t>
    </r>
  </si>
  <si>
    <r>
      <rPr>
        <b val="true"/>
        <sz val="10"/>
        <color rgb="FF16506B"/>
        <rFont val="Noto Sans CJK SC"/>
        <family val="2"/>
      </rPr>
      <t xml:space="preserve">一句话结论：低价电动车用的中国轮毂电机在洗牌，八方是赢家：在中国轮毂电机品牌里的份额 </t>
    </r>
    <r>
      <rPr>
        <b val="true"/>
        <sz val="10"/>
        <color rgb="FF16506B"/>
        <rFont val="Arial"/>
        <family val="0"/>
        <charset val="1"/>
      </rPr>
      <t xml:space="preserve">36% → 57%</t>
    </r>
    <r>
      <rPr>
        <b val="true"/>
        <sz val="10"/>
        <color rgb="FF16506B"/>
        <rFont val="Noto Sans CJK SC"/>
        <family val="2"/>
      </rPr>
      <t xml:space="preserve">。</t>
    </r>
  </si>
  <si>
    <t xml:space="preserve">快照</t>
  </si>
  <si>
    <r>
      <rPr>
        <b val="true"/>
        <sz val="9"/>
        <color rgb="FFFFFFFF"/>
        <rFont val="Noto Sans CJK SC"/>
        <family val="2"/>
      </rPr>
      <t xml:space="preserve">上架 </t>
    </r>
    <r>
      <rPr>
        <b val="true"/>
        <sz val="9"/>
        <color rgb="FFFFFFFF"/>
        <rFont val="Arial"/>
        <family val="0"/>
        <charset val="1"/>
      </rPr>
      <t xml:space="preserve">e-bike</t>
    </r>
  </si>
  <si>
    <t xml:space="preserve">Bafang</t>
  </si>
  <si>
    <t xml:space="preserve">Ananda</t>
  </si>
  <si>
    <t xml:space="preserve">MXUS</t>
  </si>
  <si>
    <t xml:space="preserve">Shengyi</t>
  </si>
  <si>
    <t xml:space="preserve">Aikema</t>
  </si>
  <si>
    <t xml:space="preserve">Motinova</t>
  </si>
  <si>
    <t xml:space="preserve">中国阵营合计</t>
  </si>
  <si>
    <t xml:space="preserve">八方占阵营</t>
  </si>
  <si>
    <t xml:space="preserve">八方占全部上架</t>
  </si>
  <si>
    <t xml:space="preserve">Bosch (Performance+Active)</t>
  </si>
  <si>
    <r>
      <rPr>
        <b val="true"/>
        <sz val="9"/>
        <color rgb="FFFFFFFF"/>
        <rFont val="Noto Sans CJK SC"/>
        <family val="2"/>
      </rPr>
      <t xml:space="preserve">无牌 </t>
    </r>
    <r>
      <rPr>
        <b val="true"/>
        <sz val="9"/>
        <color rgb="FFFFFFFF"/>
        <rFont val="Arial"/>
        <family val="0"/>
        <charset val="1"/>
      </rPr>
      <t xml:space="preserve">Merkloos</t>
    </r>
  </si>
  <si>
    <t xml:space="preserve">2023-09-15</t>
  </si>
  <si>
    <t xml:space="preserve">2024-07-15</t>
  </si>
  <si>
    <t xml:space="preserve">2025-06-15</t>
  </si>
  <si>
    <r>
      <rPr>
        <sz val="10"/>
        <rFont val="Arial"/>
        <family val="0"/>
        <charset val="1"/>
      </rPr>
      <t xml:space="preserve">2026-09-06 </t>
    </r>
    <r>
      <rPr>
        <sz val="10"/>
        <rFont val="Noto Sans CJK SC"/>
        <family val="2"/>
      </rPr>
      <t xml:space="preserve">现场</t>
    </r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</si>
  <si>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bol.com/nl/nl/l/elektrische-fietsen/24724/ </t>
    </r>
    <r>
      <rPr>
        <i val="true"/>
        <sz val="8"/>
        <color rgb="FF666666"/>
        <rFont val="Noto Sans CJK SC"/>
        <family val="2"/>
      </rPr>
      <t xml:space="preserve">「</t>
    </r>
    <r>
      <rPr>
        <i val="true"/>
        <sz val="8"/>
        <color rgb="FF666666"/>
        <rFont val="Arial"/>
        <family val="0"/>
        <charset val="1"/>
      </rPr>
      <t xml:space="preserve">Type motor</t>
    </r>
    <r>
      <rPr>
        <i val="true"/>
        <sz val="8"/>
        <color rgb="FF666666"/>
        <rFont val="Noto Sans CJK SC"/>
        <family val="2"/>
      </rPr>
      <t xml:space="preserve">」</t>
    </r>
    <r>
      <rPr>
        <i val="true"/>
        <sz val="8"/>
        <color rgb="FF666666"/>
        <rFont val="Arial"/>
        <family val="0"/>
        <charset val="1"/>
      </rPr>
      <t xml:space="preserve">facet</t>
    </r>
    <r>
      <rPr>
        <i val="true"/>
        <sz val="8"/>
        <color rgb="FF666666"/>
        <rFont val="Noto Sans CJK SC"/>
        <family val="2"/>
      </rPr>
      <t xml:space="preserve">；历史值取 </t>
    </r>
    <r>
      <rPr>
        <i val="true"/>
        <sz val="8"/>
        <color rgb="FF666666"/>
        <rFont val="Arial"/>
        <family val="0"/>
        <charset val="1"/>
      </rPr>
      <t xml:space="preserve">web.archive.org </t>
    </r>
    <r>
      <rPr>
        <i val="true"/>
        <sz val="8"/>
        <color rgb="FF666666"/>
        <rFont val="Noto Sans CJK SC"/>
        <family val="2"/>
      </rPr>
      <t xml:space="preserve">快照，现场值 </t>
    </r>
    <r>
      <rPr>
        <i val="true"/>
        <sz val="8"/>
        <color rgb="FF666666"/>
        <rFont val="Arial"/>
        <family val="0"/>
        <charset val="1"/>
      </rPr>
      <t xml:space="preserve">2026-09-06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</si>
  <si>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Arial"/>
        <family val="0"/>
        <charset val="1"/>
      </rPr>
      <t xml:space="preserve">facet </t>
    </r>
    <r>
      <rPr>
        <i val="true"/>
        <sz val="8"/>
        <color rgb="FF666666"/>
        <rFont val="Noto Sans CJK SC"/>
        <family val="2"/>
      </rPr>
      <t xml:space="preserve">只显示前 </t>
    </r>
    <r>
      <rPr>
        <i val="true"/>
        <sz val="8"/>
        <color rgb="FF666666"/>
        <rFont val="Arial"/>
        <family val="0"/>
        <charset val="1"/>
      </rPr>
      <t xml:space="preserve">8–9 </t>
    </r>
    <r>
      <rPr>
        <i val="true"/>
        <sz val="8"/>
        <color rgb="FF666666"/>
        <rFont val="Noto Sans CJK SC"/>
        <family val="2"/>
      </rPr>
      <t xml:space="preserve">项，未出现的品牌记 </t>
    </r>
    <r>
      <rPr>
        <i val="true"/>
        <sz val="8"/>
        <color rgb="FF666666"/>
        <rFont val="Arial"/>
        <family val="0"/>
        <charset val="1"/>
      </rPr>
      <t xml:space="preserve">0 → 2026 </t>
    </r>
    <r>
      <rPr>
        <i val="true"/>
        <sz val="8"/>
        <color rgb="FF666666"/>
        <rFont val="Noto Sans CJK SC"/>
        <family val="2"/>
      </rPr>
      <t xml:space="preserve">阵营合计偏低、八方占比为下界；</t>
    </r>
    <r>
      <rPr>
        <i val="true"/>
        <sz val="8"/>
        <color rgb="FF666666"/>
        <rFont val="Arial"/>
        <family val="0"/>
        <charset val="1"/>
      </rPr>
      <t xml:space="preserve">Shengyi/Aikema 2025 </t>
    </r>
    <r>
      <rPr>
        <i val="true"/>
        <sz val="8"/>
        <color rgb="FF666666"/>
        <rFont val="Noto Sans CJK SC"/>
        <family val="2"/>
      </rPr>
      <t xml:space="preserve">起跌出前 </t>
    </r>
    <r>
      <rPr>
        <i val="true"/>
        <sz val="8"/>
        <color rgb="FF666666"/>
        <rFont val="Arial"/>
        <family val="0"/>
        <charset val="1"/>
      </rPr>
      <t xml:space="preserve">8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</si>
  <si>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Arial"/>
        <family val="0"/>
        <charset val="1"/>
      </rPr>
      <t xml:space="preserve">2026-09 Shimano 183 = </t>
    </r>
    <r>
      <rPr>
        <i val="true"/>
        <sz val="8"/>
        <color rgb="FF666666"/>
        <rFont val="Noto Sans CJK SC"/>
        <family val="2"/>
      </rPr>
      <t xml:space="preserve">荷兰品牌车（</t>
    </r>
    <r>
      <rPr>
        <i val="true"/>
        <sz val="8"/>
        <color rgb="FF666666"/>
        <rFont val="Arial"/>
        <family val="0"/>
        <charset val="1"/>
      </rPr>
      <t xml:space="preserve">Gazelle/Batavus </t>
    </r>
    <r>
      <rPr>
        <i val="true"/>
        <sz val="8"/>
        <color rgb="FF666666"/>
        <rFont val="Noto Sans CJK SC"/>
        <family val="2"/>
      </rPr>
      <t xml:space="preserve">等 </t>
    </r>
    <r>
      <rPr>
        <i val="true"/>
        <sz val="8"/>
        <color rgb="FF666666"/>
        <rFont val="Arial"/>
        <family val="0"/>
        <charset val="1"/>
      </rPr>
      <t xml:space="preserve">Shimano STEPS</t>
    </r>
    <r>
      <rPr>
        <i val="true"/>
        <sz val="8"/>
        <color rgb="FF666666"/>
        <rFont val="Noto Sans CJK SC"/>
        <family val="2"/>
      </rPr>
      <t xml:space="preserve">）进入电商，稀释了整个中国轮毂阵营。</t>
    </r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</si>
  <si>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06 </t>
    </r>
    <r>
      <rPr>
        <b val="true"/>
        <sz val="11"/>
        <rFont val="Noto Sans CJK SC"/>
        <family val="2"/>
      </rPr>
      <t xml:space="preserve">八方标注型号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车型年（捷克 </t>
    </r>
    <r>
      <rPr>
        <b val="true"/>
        <sz val="11"/>
        <rFont val="Arial"/>
        <family val="0"/>
        <charset val="1"/>
      </rPr>
      <t xml:space="preserve">Heureka.cz </t>
    </r>
    <r>
      <rPr>
        <b val="true"/>
        <sz val="11"/>
        <rFont val="Noto Sans CJK SC"/>
        <family val="2"/>
      </rPr>
      <t xml:space="preserve">在售车型）</t>
    </r>
  </si>
  <si>
    <r>
      <rPr>
        <b val="true"/>
        <sz val="10"/>
        <color rgb="FF16506B"/>
        <rFont val="Noto Sans CJK SC"/>
        <family val="2"/>
      </rPr>
      <t xml:space="preserve">一句话结论：八方在卖更贵的电机：新车里八方新一代大扭矩中置电机（</t>
    </r>
    <r>
      <rPr>
        <b val="true"/>
        <sz val="10"/>
        <color rgb="FF16506B"/>
        <rFont val="Arial"/>
        <family val="0"/>
        <charset val="1"/>
      </rPr>
      <t xml:space="preserve">M410/M510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95Nm</t>
    </r>
    <r>
      <rPr>
        <b val="true"/>
        <sz val="10"/>
        <color rgb="FF16506B"/>
        <rFont val="Noto Sans CJK SC"/>
        <family val="2"/>
      </rPr>
      <t xml:space="preserve">）占比 </t>
    </r>
    <r>
      <rPr>
        <b val="true"/>
        <sz val="10"/>
        <color rgb="FF16506B"/>
        <rFont val="Arial"/>
        <family val="0"/>
        <charset val="1"/>
      </rPr>
      <t xml:space="preserve">0% → 80%</t>
    </r>
    <r>
      <rPr>
        <b val="true"/>
        <sz val="10"/>
        <color rgb="FF16506B"/>
        <rFont val="Noto Sans CJK SC"/>
        <family val="2"/>
      </rPr>
      <t xml:space="preserve">，老款 </t>
    </r>
    <r>
      <rPr>
        <b val="true"/>
        <sz val="10"/>
        <color rgb="FF16506B"/>
        <rFont val="Arial"/>
        <family val="0"/>
        <charset val="1"/>
      </rPr>
      <t xml:space="preserve">M400</t>
    </r>
    <r>
      <rPr>
        <b val="true"/>
        <sz val="10"/>
        <color rgb="FF16506B"/>
        <rFont val="Noto Sans CJK SC"/>
        <family val="2"/>
      </rPr>
      <t xml:space="preserve">（</t>
    </r>
    <r>
      <rPr>
        <b val="true"/>
        <sz val="10"/>
        <color rgb="FF16506B"/>
        <rFont val="Arial"/>
        <family val="0"/>
        <charset val="1"/>
      </rPr>
      <t xml:space="preserve">80Nm</t>
    </r>
    <r>
      <rPr>
        <b val="true"/>
        <sz val="10"/>
        <color rgb="FF16506B"/>
        <rFont val="Noto Sans CJK SC"/>
        <family val="2"/>
      </rPr>
      <t xml:space="preserve">）退出。</t>
    </r>
  </si>
  <si>
    <t xml:space="preserve">型号</t>
  </si>
  <si>
    <t xml:space="preserve">MY2021</t>
  </si>
  <si>
    <t xml:space="preserve">MY2022</t>
  </si>
  <si>
    <t xml:space="preserve">MY2023</t>
  </si>
  <si>
    <t xml:space="preserve">MY2024</t>
  </si>
  <si>
    <t xml:space="preserve">M400 (80Nm)</t>
  </si>
  <si>
    <t xml:space="preserve">M410 (95Nm)</t>
  </si>
  <si>
    <t xml:space="preserve">M510 (95Nm)</t>
  </si>
  <si>
    <t xml:space="preserve">M500 (95Nm)</t>
  </si>
  <si>
    <t xml:space="preserve">M420 (80Nm)</t>
  </si>
  <si>
    <t xml:space="preserve">M300 (80Nm)</t>
  </si>
  <si>
    <t xml:space="preserve">M200 / M810</t>
  </si>
  <si>
    <r>
      <rPr>
        <sz val="10"/>
        <rFont val="Arial"/>
        <family val="0"/>
        <charset val="1"/>
      </rPr>
      <t xml:space="preserve">H300/H700/G020 </t>
    </r>
    <r>
      <rPr>
        <sz val="10"/>
        <rFont val="Noto Sans CJK SC"/>
        <family val="2"/>
      </rPr>
      <t xml:space="preserve">轮毂</t>
    </r>
  </si>
  <si>
    <t xml:space="preserve">标注型号合计</t>
  </si>
  <si>
    <r>
      <rPr>
        <sz val="10"/>
        <rFont val="Arial"/>
        <family val="0"/>
        <charset val="1"/>
      </rPr>
      <t xml:space="preserve">M410+M510 </t>
    </r>
    <r>
      <rPr>
        <sz val="10"/>
        <rFont val="Noto Sans CJK SC"/>
        <family val="2"/>
      </rPr>
      <t xml:space="preserve">占比</t>
    </r>
  </si>
  <si>
    <r>
      <rPr>
        <i val="true"/>
        <sz val="8"/>
        <color rgb="FF666666"/>
        <rFont val="Noto Sans CJK SC"/>
        <family val="2"/>
      </rPr>
      <t xml:space="preserve">来源：</t>
    </r>
    <r>
      <rPr>
        <i val="true"/>
        <sz val="8"/>
        <color rgb="FF666666"/>
        <rFont val="Arial"/>
        <family val="0"/>
        <charset val="1"/>
      </rPr>
      <t xml:space="preserve">elektrokola.heureka.cz </t>
    </r>
    <r>
      <rPr>
        <i val="true"/>
        <sz val="8"/>
        <color rgb="FF666666"/>
        <rFont val="Noto Sans CJK SC"/>
        <family val="2"/>
      </rPr>
      <t xml:space="preserve">筛选 </t>
    </r>
    <r>
      <rPr>
        <i val="true"/>
        <sz val="8"/>
        <color rgb="FF666666"/>
        <rFont val="Arial"/>
        <family val="0"/>
        <charset val="1"/>
      </rPr>
      <t xml:space="preserve">JSON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Typ motoru facet</t>
    </r>
    <r>
      <rPr>
        <i val="true"/>
        <sz val="8"/>
        <color rgb="FF666666"/>
        <rFont val="Noto Sans CJK SC"/>
        <family val="2"/>
      </rPr>
      <t xml:space="preserve">，</t>
    </r>
    <r>
      <rPr>
        <i val="true"/>
        <sz val="8"/>
        <color rgb="FF666666"/>
        <rFont val="Arial"/>
        <family val="0"/>
        <charset val="1"/>
      </rPr>
      <t xml:space="preserve">filterId 39000</t>
    </r>
    <r>
      <rPr>
        <i val="true"/>
        <sz val="8"/>
        <color rgb="FF666666"/>
        <rFont val="Noto Sans CJK SC"/>
        <family val="2"/>
      </rPr>
      <t xml:space="preserve">），按 </t>
    </r>
    <r>
      <rPr>
        <i val="true"/>
        <sz val="8"/>
        <color rgb="FF666666"/>
        <rFont val="Arial"/>
        <family val="0"/>
        <charset val="1"/>
      </rPr>
      <t xml:space="preserve">Modelový rok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23980</t>
    </r>
    <r>
      <rPr>
        <i val="true"/>
        <sz val="8"/>
        <color rgb="FF666666"/>
        <rFont val="Noto Sans CJK SC"/>
        <family val="2"/>
      </rPr>
      <t xml:space="preserve">）切分，</t>
    </r>
    <r>
      <rPr>
        <i val="true"/>
        <sz val="8"/>
        <color rgb="FF666666"/>
        <rFont val="Arial"/>
        <family val="0"/>
        <charset val="1"/>
      </rPr>
      <t xml:space="preserve">2026-09-06 </t>
    </r>
    <r>
      <rPr>
        <i val="true"/>
        <sz val="8"/>
        <color rgb="FF666666"/>
        <rFont val="Noto Sans CJK SC"/>
        <family val="2"/>
      </rPr>
      <t xml:space="preserve">读取。</t>
    </r>
  </si>
  <si>
    <r>
      <rPr>
        <i val="true"/>
        <sz val="8"/>
        <color rgb="FF666666"/>
        <rFont val="Arial"/>
        <family val="0"/>
        <charset val="1"/>
      </rPr>
      <t xml:space="preserve">Apache MY26 </t>
    </r>
    <r>
      <rPr>
        <i val="true"/>
        <sz val="8"/>
        <color rgb="FF666666"/>
        <rFont val="Noto Sans CJK SC"/>
        <family val="2"/>
      </rPr>
      <t xml:space="preserve">从 </t>
    </r>
    <r>
      <rPr>
        <i val="true"/>
        <sz val="8"/>
        <color rgb="FF666666"/>
        <rFont val="Arial"/>
        <family val="0"/>
        <charset val="1"/>
      </rPr>
      <t xml:space="preserve">Bosch </t>
    </r>
    <r>
      <rPr>
        <i val="true"/>
        <sz val="8"/>
        <color rgb="FF666666"/>
        <rFont val="Noto Sans CJK SC"/>
        <family val="2"/>
      </rPr>
      <t xml:space="preserve">切换到八方 </t>
    </r>
    <r>
      <rPr>
        <i val="true"/>
        <sz val="8"/>
        <color rgb="FF666666"/>
        <rFont val="Arial"/>
        <family val="0"/>
        <charset val="1"/>
      </rPr>
      <t xml:space="preserve">9 </t>
    </r>
    <r>
      <rPr>
        <i val="true"/>
        <sz val="8"/>
        <color rgb="FF666666"/>
        <rFont val="Noto Sans CJK SC"/>
        <family val="2"/>
      </rPr>
      <t xml:space="preserve">款（</t>
    </r>
    <r>
      <rPr>
        <i val="true"/>
        <sz val="8"/>
        <color rgb="FF666666"/>
        <rFont val="Arial"/>
        <family val="0"/>
        <charset val="1"/>
      </rPr>
      <t xml:space="preserve">M510/M410</t>
    </r>
    <r>
      <rPr>
        <i val="true"/>
        <sz val="8"/>
        <color rgb="FF666666"/>
        <rFont val="Noto Sans CJK SC"/>
        <family val="2"/>
      </rPr>
      <t xml:space="preserve">），</t>
    </r>
    <r>
      <rPr>
        <i val="true"/>
        <sz val="8"/>
        <color rgb="FF666666"/>
        <rFont val="Arial"/>
        <family val="0"/>
        <charset val="1"/>
      </rPr>
      <t xml:space="preserve">Sheet 19 </t>
    </r>
    <r>
      <rPr>
        <i val="true"/>
        <sz val="8"/>
        <color rgb="FF666666"/>
        <rFont val="Noto Sans CJK SC"/>
        <family val="2"/>
      </rPr>
      <t xml:space="preserve">有 </t>
    </r>
    <r>
      <rPr>
        <i val="true"/>
        <sz val="8"/>
        <color rgb="FF666666"/>
        <rFont val="Arial"/>
        <family val="0"/>
        <charset val="1"/>
      </rPr>
      <t xml:space="preserve">OEM </t>
    </r>
    <r>
      <rPr>
        <i val="true"/>
        <sz val="8"/>
        <color rgb="FF666666"/>
        <rFont val="Noto Sans CJK SC"/>
        <family val="2"/>
      </rPr>
      <t xml:space="preserve">明细。</t>
    </r>
  </si>
  <si>
    <t xml:space="preserve">口径限制：今天在售车型按车型年切分，老车型年只剩清仓库存；读代际方向，不读绝对数。</t>
  </si>
  <si>
    <r>
      <rPr>
        <b val="true"/>
        <sz val="11"/>
        <rFont val="Noto Sans CJK SC"/>
        <family val="2"/>
      </rPr>
      <t xml:space="preserve">图</t>
    </r>
    <r>
      <rPr>
        <b val="true"/>
        <sz val="11"/>
        <rFont val="Arial"/>
        <family val="0"/>
        <charset val="1"/>
      </rPr>
      <t xml:space="preserve">07 </t>
    </r>
    <r>
      <rPr>
        <b val="true"/>
        <sz val="11"/>
        <rFont val="Noto Sans CJK SC"/>
        <family val="2"/>
      </rPr>
      <t xml:space="preserve">八方占已标注电机品牌车型的份额 —— 两个能拉时序的主场</t>
    </r>
  </si>
  <si>
    <r>
      <rPr>
        <b val="true"/>
        <sz val="10"/>
        <color rgb="FF16506B"/>
        <rFont val="Noto Sans CJK SC"/>
        <family val="2"/>
      </rPr>
      <t xml:space="preserve">一句话结论：边界：整车厂给八方中置电机的配置份额在捷克、荷兰都在降（</t>
    </r>
    <r>
      <rPr>
        <b val="true"/>
        <sz val="10"/>
        <color rgb="FF16506B"/>
        <rFont val="Arial"/>
        <family val="0"/>
        <charset val="1"/>
      </rPr>
      <t xml:space="preserve">29%→18%</t>
    </r>
    <r>
      <rPr>
        <b val="true"/>
        <sz val="10"/>
        <color rgb="FF16506B"/>
        <rFont val="Noto Sans CJK SC"/>
        <family val="2"/>
      </rPr>
      <t xml:space="preserve">，</t>
    </r>
    <r>
      <rPr>
        <b val="true"/>
        <sz val="10"/>
        <color rgb="FF16506B"/>
        <rFont val="Arial"/>
        <family val="0"/>
        <charset val="1"/>
      </rPr>
      <t xml:space="preserve">24%→7%</t>
    </r>
    <r>
      <rPr>
        <b val="true"/>
        <sz val="10"/>
        <color rgb="FF16506B"/>
        <rFont val="Noto Sans CJK SC"/>
        <family val="2"/>
      </rPr>
      <t xml:space="preserve">），</t>
    </r>
    <r>
      <rPr>
        <b val="true"/>
        <sz val="10"/>
        <color rgb="FF16506B"/>
        <rFont val="Arial"/>
        <family val="0"/>
        <charset val="1"/>
      </rPr>
      <t xml:space="preserve">long </t>
    </r>
    <r>
      <rPr>
        <b val="true"/>
        <sz val="10"/>
        <color rgb="FF16506B"/>
        <rFont val="Noto Sans CJK SC"/>
        <family val="2"/>
      </rPr>
      <t xml:space="preserve">八方不能建在「八方抢 </t>
    </r>
    <r>
      <rPr>
        <b val="true"/>
        <sz val="10"/>
        <color rgb="FF16506B"/>
        <rFont val="Arial"/>
        <family val="0"/>
        <charset val="1"/>
      </rPr>
      <t xml:space="preserve">Bosch/Shimano </t>
    </r>
    <r>
      <rPr>
        <b val="true"/>
        <sz val="10"/>
        <color rgb="FF16506B"/>
        <rFont val="Noto Sans CJK SC"/>
        <family val="2"/>
      </rPr>
      <t xml:space="preserve">中置订单」上。</t>
    </r>
  </si>
  <si>
    <t xml:space="preserve">时点</t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</si>
  <si>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Heureka.cz </t>
    </r>
    <r>
      <rPr>
        <b val="true"/>
        <sz val="9"/>
        <color rgb="FFFFFFFF"/>
        <rFont val="Noto Sans CJK SC"/>
        <family val="2"/>
      </rPr>
      <t xml:space="preserve">八方份额</t>
    </r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</si>
  <si>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Bosch</t>
    </r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</si>
  <si>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Panasonic</t>
    </r>
  </si>
  <si>
    <r>
      <rPr>
        <b val="true"/>
        <sz val="9"/>
        <color rgb="FFFFFFFF"/>
        <rFont val="Noto Sans CJK SC"/>
        <family val="2"/>
      </rPr>
      <t xml:space="preserve">捷克 </t>
    </r>
    <r>
      <rPr>
        <b val="true"/>
        <sz val="9"/>
        <color rgb="FFFFFFFF"/>
        <rFont val="Arial"/>
        <family val="0"/>
        <charset val="1"/>
      </rPr>
      <t xml:space="preserve">Shimano</t>
    </r>
  </si>
  <si>
    <r>
      <rPr>
        <b val="true"/>
        <sz val="9"/>
        <color rgb="FFFFFFFF"/>
        <rFont val="Noto Sans CJK SC"/>
        <family val="2"/>
      </rPr>
      <t xml:space="preserve">荷兰 </t>
    </r>
    <r>
      <rPr>
        <b val="true"/>
        <sz val="9"/>
        <color rgb="FFFFFFFF"/>
        <rFont val="Arial"/>
        <family val="0"/>
        <charset val="1"/>
      </rPr>
      <t xml:space="preserve">fietsenwinkel.nl </t>
    </r>
    <r>
      <rPr>
        <b val="true"/>
        <sz val="9"/>
        <color rgb="FFFFFFFF"/>
        <rFont val="Noto Sans CJK SC"/>
        <family val="2"/>
      </rPr>
      <t xml:space="preserve">八方份额</t>
    </r>
  </si>
  <si>
    <r>
      <rPr>
        <b val="true"/>
        <sz val="9"/>
        <color rgb="FFFFFFFF"/>
        <rFont val="Noto Sans CJK SC"/>
        <family val="2"/>
      </rPr>
      <t xml:space="preserve">荷兰 </t>
    </r>
    <r>
      <rPr>
        <b val="true"/>
        <sz val="9"/>
        <color rgb="FFFFFFFF"/>
        <rFont val="Arial"/>
        <family val="0"/>
        <charset val="1"/>
      </rPr>
      <t xml:space="preserve">Bosch</t>
    </r>
  </si>
  <si>
    <r>
      <rPr>
        <b val="true"/>
        <sz val="9"/>
        <color rgb="FFFFFFFF"/>
        <rFont val="Noto Sans CJK SC"/>
        <family val="2"/>
      </rPr>
      <t xml:space="preserve">荷兰 </t>
    </r>
    <r>
      <rPr>
        <b val="true"/>
        <sz val="9"/>
        <color rgb="FFFFFFFF"/>
        <rFont val="Arial"/>
        <family val="0"/>
        <charset val="1"/>
      </rPr>
      <t xml:space="preserve">Shimano</t>
    </r>
  </si>
  <si>
    <t xml:space="preserve">2023-01</t>
  </si>
  <si>
    <t xml:space="preserve">2023-12</t>
  </si>
  <si>
    <t xml:space="preserve">2024-03</t>
  </si>
  <si>
    <t xml:space="preserve">2024-12</t>
  </si>
  <si>
    <t xml:space="preserve">2025-04</t>
  </si>
  <si>
    <t xml:space="preserve">2026-01/02</t>
  </si>
  <si>
    <t xml:space="preserve">2026-09</t>
  </si>
  <si>
    <r>
      <rPr>
        <i val="true"/>
        <sz val="8"/>
        <color rgb="FF666666"/>
        <rFont val="Noto Sans CJK SC"/>
        <family val="2"/>
      </rPr>
      <t xml:space="preserve">来源：捷克：</t>
    </r>
    <r>
      <rPr>
        <i val="true"/>
        <sz val="8"/>
        <color rgb="FF666666"/>
        <rFont val="Arial"/>
        <family val="0"/>
        <charset val="1"/>
      </rPr>
      <t xml:space="preserve">elektrokola.heureka.cz </t>
    </r>
    <r>
      <rPr>
        <i val="true"/>
        <sz val="8"/>
        <color rgb="FF666666"/>
        <rFont val="Noto Sans CJK SC"/>
        <family val="2"/>
      </rPr>
      <t xml:space="preserve">筛选 </t>
    </r>
    <r>
      <rPr>
        <i val="true"/>
        <sz val="8"/>
        <color rgb="FF666666"/>
        <rFont val="Arial"/>
        <family val="0"/>
        <charset val="1"/>
      </rPr>
      <t xml:space="preserve">JSON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Výrobce motoru</t>
    </r>
    <r>
      <rPr>
        <i val="true"/>
        <sz val="8"/>
        <color rgb="FF666666"/>
        <rFont val="Noto Sans CJK SC"/>
        <family val="2"/>
      </rPr>
      <t xml:space="preserve">，</t>
    </r>
    <r>
      <rPr>
        <i val="true"/>
        <sz val="8"/>
        <color rgb="FF666666"/>
        <rFont val="Arial"/>
        <family val="0"/>
        <charset val="1"/>
      </rPr>
      <t xml:space="preserve">filterId 26990</t>
    </r>
    <r>
      <rPr>
        <i val="true"/>
        <sz val="8"/>
        <color rgb="FF666666"/>
        <rFont val="Noto Sans CJK SC"/>
        <family val="2"/>
      </rPr>
      <t xml:space="preserve">）；荷兰：</t>
    </r>
    <r>
      <rPr>
        <i val="true"/>
        <sz val="8"/>
        <color rgb="FF666666"/>
        <rFont val="Arial"/>
        <family val="0"/>
        <charset val="1"/>
      </rPr>
      <t xml:space="preserve">fietsenwinkel.nl/fietsen/-/elektrische_fietsen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amshopby[motor_brand]</t>
    </r>
    <r>
      <rPr>
        <i val="true"/>
        <sz val="8"/>
        <color rgb="FF666666"/>
        <rFont val="Noto Sans CJK SC"/>
        <family val="2"/>
      </rPr>
      <t xml:space="preserve">）。历史值均取 </t>
    </r>
    <r>
      <rPr>
        <i val="true"/>
        <sz val="8"/>
        <color rgb="FF666666"/>
        <rFont val="Arial"/>
        <family val="0"/>
        <charset val="1"/>
      </rPr>
      <t xml:space="preserve">web.archive.org </t>
    </r>
    <r>
      <rPr>
        <i val="true"/>
        <sz val="8"/>
        <color rgb="FF666666"/>
        <rFont val="Noto Sans CJK SC"/>
        <family val="2"/>
      </rPr>
      <t xml:space="preserve">快照，现场值 </t>
    </r>
    <r>
      <rPr>
        <i val="true"/>
        <sz val="8"/>
        <color rgb="FF666666"/>
        <rFont val="Arial"/>
        <family val="0"/>
        <charset val="1"/>
      </rPr>
      <t xml:space="preserve">2026-09-06</t>
    </r>
    <r>
      <rPr>
        <i val="true"/>
        <sz val="8"/>
        <color rgb="FF666666"/>
        <rFont val="Noto Sans CJK SC"/>
        <family val="2"/>
      </rPr>
      <t xml:space="preserve">。完整序列见 </t>
    </r>
    <r>
      <rPr>
        <i val="true"/>
        <sz val="8"/>
        <color rgb="FF666666"/>
        <rFont val="Arial"/>
        <family val="0"/>
        <charset val="1"/>
      </rPr>
      <t xml:space="preserve">bike_supply_chain_mapping.xlsx Sheet 17 / 22</t>
    </r>
    <r>
      <rPr>
        <i val="true"/>
        <sz val="8"/>
        <color rgb="FF666666"/>
        <rFont val="Noto Sans CJK SC"/>
        <family val="2"/>
      </rPr>
      <t xml:space="preserve">。</t>
    </r>
  </si>
  <si>
    <r>
      <rPr>
        <i val="true"/>
        <sz val="8"/>
        <color rgb="FF666666"/>
        <rFont val="Noto Sans CJK SC"/>
        <family val="2"/>
      </rPr>
      <t xml:space="preserve">捷克流向 </t>
    </r>
    <r>
      <rPr>
        <i val="true"/>
        <sz val="8"/>
        <color rgb="FF666666"/>
        <rFont val="Arial"/>
        <family val="0"/>
        <charset val="1"/>
      </rPr>
      <t xml:space="preserve">Panasonic</t>
    </r>
    <r>
      <rPr>
        <i val="true"/>
        <sz val="8"/>
        <color rgb="FF666666"/>
        <rFont val="Noto Sans CJK SC"/>
        <family val="2"/>
      </rPr>
      <t xml:space="preserve">（</t>
    </r>
    <r>
      <rPr>
        <i val="true"/>
        <sz val="8"/>
        <color rgb="FF666666"/>
        <rFont val="Arial"/>
        <family val="0"/>
        <charset val="1"/>
      </rPr>
      <t xml:space="preserve">Crussis MY22 </t>
    </r>
    <r>
      <rPr>
        <i val="true"/>
        <sz val="8"/>
        <color rgb="FF666666"/>
        <rFont val="Noto Sans CJK SC"/>
        <family val="2"/>
      </rPr>
      <t xml:space="preserve">八方 </t>
    </r>
    <r>
      <rPr>
        <i val="true"/>
        <sz val="8"/>
        <color rgb="FF666666"/>
        <rFont val="Arial"/>
        <family val="0"/>
        <charset val="1"/>
      </rPr>
      <t xml:space="preserve">70% → MY26 Panasonic 92%</t>
    </r>
    <r>
      <rPr>
        <i val="true"/>
        <sz val="8"/>
        <color rgb="FF666666"/>
        <rFont val="Noto Sans CJK SC"/>
        <family val="2"/>
      </rPr>
      <t xml:space="preserve">）；荷兰流向 </t>
    </r>
    <r>
      <rPr>
        <i val="true"/>
        <sz val="8"/>
        <color rgb="FF666666"/>
        <rFont val="Arial"/>
        <family val="0"/>
        <charset val="1"/>
      </rPr>
      <t xml:space="preserve">Bosch</t>
    </r>
    <r>
      <rPr>
        <i val="true"/>
        <sz val="8"/>
        <color rgb="FF666666"/>
        <rFont val="Noto Sans CJK SC"/>
        <family val="2"/>
      </rPr>
      <t xml:space="preserve">。</t>
    </r>
    <r>
      <rPr>
        <i val="true"/>
        <sz val="8"/>
        <color rgb="FF666666"/>
        <rFont val="Arial"/>
        <family val="0"/>
        <charset val="1"/>
      </rPr>
      <t xml:space="preserve">Shimano </t>
    </r>
    <r>
      <rPr>
        <i val="true"/>
        <sz val="8"/>
        <color rgb="FF666666"/>
        <rFont val="Noto Sans CJK SC"/>
        <family val="2"/>
      </rPr>
      <t xml:space="preserve">两地均持平 → 「八方中置抢 </t>
    </r>
    <r>
      <rPr>
        <i val="true"/>
        <sz val="8"/>
        <color rgb="FF666666"/>
        <rFont val="Arial"/>
        <family val="0"/>
        <charset val="1"/>
      </rPr>
      <t xml:space="preserve">Shimano/Bosch</t>
    </r>
    <r>
      <rPr>
        <i val="true"/>
        <sz val="8"/>
        <color rgb="FF666666"/>
        <rFont val="Noto Sans CJK SC"/>
        <family val="2"/>
      </rPr>
      <t xml:space="preserve">」在两地都找不到证据。</t>
    </r>
  </si>
  <si>
    <r>
      <rPr>
        <i val="true"/>
        <sz val="8"/>
        <color rgb="FF666666"/>
        <rFont val="Noto Sans CJK SC"/>
        <family val="2"/>
      </rPr>
      <t xml:space="preserve">荷兰单一零售商有选品升级的混杂因素（</t>
    </r>
    <r>
      <rPr>
        <i val="true"/>
        <sz val="8"/>
        <color rgb="FF666666"/>
        <rFont val="Arial"/>
        <family val="0"/>
        <charset val="1"/>
      </rPr>
      <t xml:space="preserve">Popal/Brinckers/QWIC → Cube/Cortina</t>
    </r>
    <r>
      <rPr>
        <i val="true"/>
        <sz val="8"/>
        <color rgb="FF666666"/>
        <rFont val="Noto Sans CJK SC"/>
        <family val="2"/>
      </rPr>
      <t xml:space="preserve">），方向用 </t>
    </r>
    <r>
      <rPr>
        <i val="true"/>
        <sz val="8"/>
        <color rgb="FF666666"/>
        <rFont val="Arial"/>
        <family val="0"/>
        <charset val="1"/>
      </rPr>
      <t xml:space="preserve">bol.com </t>
    </r>
    <r>
      <rPr>
        <i val="true"/>
        <sz val="8"/>
        <color rgb="FF666666"/>
        <rFont val="Noto Sans CJK SC"/>
        <family val="2"/>
      </rPr>
      <t xml:space="preserve">交叉（图</t>
    </r>
    <r>
      <rPr>
        <i val="true"/>
        <sz val="8"/>
        <color rgb="FF666666"/>
        <rFont val="Arial"/>
        <family val="0"/>
        <charset val="1"/>
      </rPr>
      <t xml:space="preserve">05</t>
    </r>
    <r>
      <rPr>
        <i val="true"/>
        <sz val="8"/>
        <color rgb="FF666666"/>
        <rFont val="Noto Sans CJK SC"/>
        <family val="2"/>
      </rPr>
      <t xml:space="preserve">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</si>
</sst>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6506B"/>
      <name val="Noto Sans CJK SC"/>
      <family val="2"/>
    </font>
    <font>
      <b val="true"/>
      <sz val="10"/>
      <color rgb="FF16506B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Noto Sans CJK SC"/>
      <family val="2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506B"/>
        <bgColor rgb="FF16506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6506B"/>
      <rgbColor rgb="FF339966"/>
      <rgbColor rgb="FF003300"/>
      <rgbColor rgb="FF333300"/>
      <rgbColor rgb="FF993300"/>
      <rgbColor rgb="FF993366"/>
      <rgbColor rgb="FF175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17.15" hidden="false" customHeight="false" outlineLevel="0" collapsed="false">
      <c r="A1" s="1" t="s">
        <v>5</v>
      </c>
    </row>
    <row r="2" customFormat="false" ht="15" hidden="false" customHeight="false" outlineLevel="0" collapsed="false">
      <c r="A2" s="3" t="s">
        <v>6</v>
      </c>
    </row>
    <row r="4" customFormat="false" ht="30" hidden="false" customHeight="true" outlineLevel="0" collapsed="false">
      <c r="A4" s="4" t="s">
        <v>7</v>
      </c>
      <c r="B4" s="4" t="s">
        <v>8</v>
      </c>
      <c r="C4" s="5" t="s">
        <v>9</v>
      </c>
      <c r="D4" s="5" t="s">
        <v>10</v>
      </c>
      <c r="E4" s="4" t="s">
        <v>11</v>
      </c>
      <c r="F4" s="4" t="s">
        <v>12</v>
      </c>
      <c r="G4" s="5" t="s">
        <v>13</v>
      </c>
      <c r="H4" s="5" t="s">
        <v>14</v>
      </c>
    </row>
    <row r="5" customFormat="false" ht="15" hidden="false" customHeight="false" outlineLevel="0" collapsed="false">
      <c r="A5" s="2" t="s">
        <v>15</v>
      </c>
      <c r="B5" s="6" t="n">
        <v>320</v>
      </c>
      <c r="C5" s="6" t="n">
        <v>141</v>
      </c>
      <c r="D5" s="6" t="n">
        <v>6</v>
      </c>
      <c r="E5" s="7" t="s">
        <v>16</v>
      </c>
      <c r="F5" s="6" t="n">
        <v>32</v>
      </c>
      <c r="G5" s="8" t="n">
        <f aca="false">C5/(C5+D5)</f>
        <v>0.959183673469388</v>
      </c>
      <c r="H5" s="7" t="s">
        <v>17</v>
      </c>
    </row>
    <row r="6" customFormat="false" ht="15" hidden="false" customHeight="false" outlineLevel="0" collapsed="false">
      <c r="A6" s="2" t="s">
        <v>18</v>
      </c>
      <c r="B6" s="6" t="n">
        <v>897</v>
      </c>
      <c r="C6" s="6" t="n">
        <v>498</v>
      </c>
      <c r="D6" s="6" t="n">
        <v>98</v>
      </c>
      <c r="E6" s="7" t="s">
        <v>16</v>
      </c>
      <c r="F6" s="6" t="n">
        <v>19</v>
      </c>
      <c r="G6" s="8" t="n">
        <f aca="false">C6/(C6+D6)</f>
        <v>0.835570469798658</v>
      </c>
      <c r="H6" s="7" t="s">
        <v>19</v>
      </c>
    </row>
    <row r="7" customFormat="false" ht="15" hidden="false" customHeight="false" outlineLevel="0" collapsed="false">
      <c r="A7" s="2" t="s">
        <v>20</v>
      </c>
      <c r="B7" s="6" t="n">
        <v>1865</v>
      </c>
      <c r="C7" s="6" t="n">
        <v>897</v>
      </c>
      <c r="D7" s="6" t="n">
        <v>445</v>
      </c>
      <c r="E7" s="7" t="s">
        <v>21</v>
      </c>
      <c r="F7" s="6" t="n">
        <v>15</v>
      </c>
      <c r="G7" s="8" t="n">
        <f aca="false">C7/(C7+D7)</f>
        <v>0.668405365126677</v>
      </c>
      <c r="H7" s="7" t="s">
        <v>22</v>
      </c>
    </row>
    <row r="8" customFormat="false" ht="15" hidden="false" customHeight="false" outlineLevel="0" collapsed="false">
      <c r="A8" s="2" t="s">
        <v>23</v>
      </c>
      <c r="B8" s="6" t="n">
        <v>1549</v>
      </c>
      <c r="C8" s="6" t="n">
        <v>600</v>
      </c>
      <c r="D8" s="6" t="n">
        <v>637</v>
      </c>
      <c r="E8" s="7" t="s">
        <v>21</v>
      </c>
      <c r="F8" s="6" t="n">
        <v>39</v>
      </c>
      <c r="G8" s="8" t="n">
        <f aca="false">C8/(C8+D8)</f>
        <v>0.485044462409054</v>
      </c>
      <c r="H8" s="7" t="s">
        <v>24</v>
      </c>
    </row>
    <row r="9" customFormat="false" ht="15" hidden="false" customHeight="false" outlineLevel="0" collapsed="false">
      <c r="A9" s="2" t="s">
        <v>25</v>
      </c>
      <c r="B9" s="6" t="n">
        <v>777</v>
      </c>
      <c r="C9" s="6" t="n">
        <v>438</v>
      </c>
      <c r="D9" s="6" t="n">
        <v>23</v>
      </c>
      <c r="E9" s="7" t="s">
        <v>16</v>
      </c>
      <c r="F9" s="6" t="n">
        <v>91</v>
      </c>
      <c r="G9" s="8" t="n">
        <f aca="false">C9/(C9+D9)</f>
        <v>0.950108459869848</v>
      </c>
      <c r="H9" s="7" t="s">
        <v>26</v>
      </c>
    </row>
    <row r="10" customFormat="false" ht="15" hidden="false" customHeight="false" outlineLevel="0" collapsed="false">
      <c r="A10" s="2" t="s">
        <v>27</v>
      </c>
      <c r="B10" s="6" t="n">
        <v>614</v>
      </c>
      <c r="C10" s="6" t="n">
        <v>257</v>
      </c>
      <c r="D10" s="6" t="n">
        <v>92</v>
      </c>
      <c r="E10" s="7" t="s">
        <v>16</v>
      </c>
      <c r="F10" s="6" t="n">
        <v>34</v>
      </c>
      <c r="G10" s="8" t="n">
        <f aca="false">C10/(C10+D10)</f>
        <v>0.736389684813754</v>
      </c>
      <c r="H10" s="7" t="s">
        <v>28</v>
      </c>
    </row>
    <row r="11" customFormat="false" ht="15" hidden="false" customHeight="false" outlineLevel="0" collapsed="false">
      <c r="A11" s="2" t="s">
        <v>29</v>
      </c>
      <c r="B11" s="6" t="n">
        <v>1566</v>
      </c>
      <c r="C11" s="6" t="n">
        <v>772</v>
      </c>
      <c r="D11" s="6" t="n">
        <v>421</v>
      </c>
      <c r="E11" s="7" t="s">
        <v>16</v>
      </c>
      <c r="F11" s="6" t="n">
        <v>12</v>
      </c>
      <c r="G11" s="8" t="n">
        <f aca="false">C11/(C11+D11)</f>
        <v>0.647108130762783</v>
      </c>
      <c r="H11" s="7" t="s">
        <v>30</v>
      </c>
    </row>
    <row r="12" customFormat="false" ht="15" hidden="false" customHeight="false" outlineLevel="0" collapsed="false">
      <c r="A12" s="2" t="s">
        <v>31</v>
      </c>
      <c r="B12" s="6" t="n">
        <v>1672</v>
      </c>
      <c r="C12" s="6" t="n">
        <v>582</v>
      </c>
      <c r="D12" s="6" t="n">
        <v>847</v>
      </c>
      <c r="E12" s="7" t="s">
        <v>16</v>
      </c>
      <c r="F12" s="6" t="n">
        <v>3</v>
      </c>
      <c r="G12" s="8" t="n">
        <f aca="false">C12/(C12+D12)</f>
        <v>0.407277816655004</v>
      </c>
      <c r="H12" s="7" t="s">
        <v>32</v>
      </c>
    </row>
    <row r="13" customFormat="false" ht="15" hidden="false" customHeight="false" outlineLevel="0" collapsed="false">
      <c r="A13" s="2" t="s">
        <v>33</v>
      </c>
      <c r="B13" s="6" t="n">
        <v>916</v>
      </c>
      <c r="C13" s="6" t="n">
        <v>500</v>
      </c>
      <c r="D13" s="6" t="n">
        <v>8</v>
      </c>
      <c r="E13" s="7" t="s">
        <v>16</v>
      </c>
      <c r="F13" s="6" t="n">
        <v>71</v>
      </c>
      <c r="G13" s="8" t="n">
        <f aca="false">C13/(C13+D13)</f>
        <v>0.984251968503937</v>
      </c>
      <c r="H13" s="7" t="s">
        <v>34</v>
      </c>
    </row>
    <row r="14" customFormat="false" ht="15" hidden="false" customHeight="false" outlineLevel="0" collapsed="false">
      <c r="A14" s="2" t="s">
        <v>35</v>
      </c>
      <c r="B14" s="6" t="n">
        <v>503</v>
      </c>
      <c r="C14" s="6" t="n">
        <v>224</v>
      </c>
      <c r="D14" s="6" t="n">
        <v>6</v>
      </c>
      <c r="E14" s="7" t="s">
        <v>16</v>
      </c>
      <c r="F14" s="6" t="n">
        <v>35</v>
      </c>
      <c r="G14" s="8" t="n">
        <f aca="false">C14/(C14+D14)</f>
        <v>0.973913043478261</v>
      </c>
      <c r="H14" s="7" t="s">
        <v>36</v>
      </c>
    </row>
    <row r="15" customFormat="false" ht="15" hidden="false" customHeight="false" outlineLevel="0" collapsed="false">
      <c r="A15" s="2" t="s">
        <v>37</v>
      </c>
      <c r="B15" s="6" t="n">
        <v>1392</v>
      </c>
      <c r="C15" s="6" t="n">
        <v>538</v>
      </c>
      <c r="D15" s="6" t="n">
        <v>21</v>
      </c>
      <c r="E15" s="7" t="s">
        <v>16</v>
      </c>
      <c r="F15" s="6" t="n">
        <v>16</v>
      </c>
      <c r="G15" s="8" t="n">
        <f aca="false">C15/(C15+D15)</f>
        <v>0.962432915921288</v>
      </c>
      <c r="H15" s="7" t="s">
        <v>38</v>
      </c>
    </row>
    <row r="16" customFormat="false" ht="15" hidden="false" customHeight="false" outlineLevel="0" collapsed="false">
      <c r="A16" s="2" t="s">
        <v>39</v>
      </c>
      <c r="B16" s="6" t="n">
        <v>437</v>
      </c>
      <c r="C16" s="6" t="n">
        <v>53</v>
      </c>
      <c r="D16" s="6" t="n">
        <v>13</v>
      </c>
      <c r="E16" s="7" t="s">
        <v>16</v>
      </c>
      <c r="F16" s="6" t="n">
        <v>2</v>
      </c>
      <c r="G16" s="8" t="n">
        <f aca="false">C16/(C16+D16)</f>
        <v>0.803030303030303</v>
      </c>
      <c r="H16" s="7" t="s">
        <v>40</v>
      </c>
    </row>
    <row r="17" customFormat="false" ht="15" hidden="false" customHeight="false" outlineLevel="0" collapsed="false">
      <c r="A17" s="2" t="s">
        <v>41</v>
      </c>
      <c r="B17" s="6" t="n">
        <v>2753</v>
      </c>
      <c r="C17" s="6" t="n">
        <v>1381</v>
      </c>
      <c r="D17" s="6" t="n">
        <v>38</v>
      </c>
      <c r="E17" s="7" t="s">
        <v>16</v>
      </c>
      <c r="F17" s="6" t="n">
        <v>250</v>
      </c>
      <c r="G17" s="8" t="n">
        <f aca="false">C17/(C17+D17)</f>
        <v>0.973220577871741</v>
      </c>
      <c r="H17" s="7" t="s">
        <v>42</v>
      </c>
    </row>
    <row r="18" customFormat="false" ht="15" hidden="false" customHeight="false" outlineLevel="0" collapsed="false">
      <c r="A18" s="2" t="s">
        <v>43</v>
      </c>
      <c r="B18" s="6" t="n">
        <v>2084</v>
      </c>
      <c r="C18" s="6" t="n">
        <v>1005</v>
      </c>
      <c r="D18" s="6" t="n">
        <v>207</v>
      </c>
      <c r="E18" s="7" t="s">
        <v>16</v>
      </c>
      <c r="F18" s="6" t="n">
        <v>106</v>
      </c>
      <c r="G18" s="8" t="n">
        <f aca="false">C18/(C18+D18)</f>
        <v>0.829207920792079</v>
      </c>
      <c r="H18" s="7" t="s">
        <v>44</v>
      </c>
    </row>
    <row r="19" customFormat="false" ht="15" hidden="false" customHeight="false" outlineLevel="0" collapsed="false">
      <c r="A19" s="2" t="s">
        <v>45</v>
      </c>
      <c r="B19" s="6" t="n">
        <v>4859</v>
      </c>
      <c r="C19" s="6" t="n">
        <v>2221</v>
      </c>
      <c r="D19" s="6" t="n">
        <v>890</v>
      </c>
      <c r="E19" s="7" t="s">
        <v>16</v>
      </c>
      <c r="F19" s="6" t="n">
        <v>31</v>
      </c>
      <c r="G19" s="8" t="n">
        <f aca="false">C19/(C19+D19)</f>
        <v>0.713918354226937</v>
      </c>
      <c r="H19" s="7" t="s">
        <v>46</v>
      </c>
    </row>
    <row r="20" customFormat="false" ht="15" hidden="false" customHeight="false" outlineLevel="0" collapsed="false">
      <c r="A20" s="2" t="s">
        <v>47</v>
      </c>
      <c r="B20" s="6" t="n">
        <v>3660</v>
      </c>
      <c r="C20" s="6" t="n">
        <v>1235</v>
      </c>
      <c r="D20" s="6" t="n">
        <v>1497</v>
      </c>
      <c r="E20" s="7" t="s">
        <v>21</v>
      </c>
      <c r="F20" s="6" t="n">
        <v>39</v>
      </c>
      <c r="G20" s="8" t="n">
        <f aca="false">C20/(C20+D20)</f>
        <v>0.452049780380674</v>
      </c>
      <c r="H20" s="7" t="s">
        <v>48</v>
      </c>
    </row>
    <row r="22" customFormat="false" ht="15" hidden="false" customHeight="false" outlineLevel="0" collapsed="false">
      <c r="A22" s="9" t="s">
        <v>49</v>
      </c>
    </row>
    <row r="23" customFormat="false" ht="15" hidden="false" customHeight="false" outlineLevel="0" collapsed="false">
      <c r="A23" s="9" t="s">
        <v>50</v>
      </c>
    </row>
    <row r="24" customFormat="false" ht="15" hidden="false" customHeight="false" outlineLevel="0" collapsed="false">
      <c r="A24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1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3" t="s">
        <v>53</v>
      </c>
    </row>
    <row r="4" customFormat="false" ht="30" hidden="false" customHeight="true" outlineLevel="0" collapsed="false">
      <c r="A4" s="4" t="s">
        <v>54</v>
      </c>
      <c r="B4" s="5" t="s">
        <v>55</v>
      </c>
      <c r="C4" s="5" t="s">
        <v>56</v>
      </c>
      <c r="D4" s="4" t="s">
        <v>57</v>
      </c>
      <c r="E4" s="5" t="s">
        <v>14</v>
      </c>
    </row>
    <row r="5" customFormat="false" ht="15" hidden="false" customHeight="false" outlineLevel="0" collapsed="false">
      <c r="A5" s="10" t="s">
        <v>58</v>
      </c>
      <c r="B5" s="6" t="n">
        <v>373</v>
      </c>
      <c r="C5" s="6" t="n">
        <v>248</v>
      </c>
      <c r="D5" s="8" t="n">
        <f aca="false">C5/B5-1</f>
        <v>-0.335120643431635</v>
      </c>
      <c r="E5" s="7" t="s">
        <v>59</v>
      </c>
    </row>
    <row r="6" customFormat="false" ht="15" hidden="false" customHeight="false" outlineLevel="0" collapsed="false">
      <c r="A6" s="10" t="s">
        <v>60</v>
      </c>
      <c r="B6" s="6" t="n">
        <v>1012</v>
      </c>
      <c r="C6" s="6" t="n">
        <v>773</v>
      </c>
      <c r="D6" s="8" t="n">
        <f aca="false">C6/B6-1</f>
        <v>-0.236166007905138</v>
      </c>
      <c r="E6" s="7" t="s">
        <v>61</v>
      </c>
    </row>
    <row r="7" customFormat="false" ht="15" hidden="false" customHeight="false" outlineLevel="0" collapsed="false">
      <c r="A7" s="10" t="s">
        <v>62</v>
      </c>
      <c r="B7" s="6" t="n">
        <v>152</v>
      </c>
      <c r="C7" s="6" t="n">
        <v>215</v>
      </c>
      <c r="D7" s="8" t="n">
        <f aca="false">C7/B7-1</f>
        <v>0.414473684210526</v>
      </c>
      <c r="E7" s="7" t="s">
        <v>63</v>
      </c>
    </row>
    <row r="8" customFormat="false" ht="15" hidden="false" customHeight="false" outlineLevel="0" collapsed="false">
      <c r="A8" s="2" t="s">
        <v>64</v>
      </c>
      <c r="B8" s="6" t="n">
        <v>1853</v>
      </c>
      <c r="C8" s="6" t="n">
        <v>1672</v>
      </c>
      <c r="D8" s="8" t="n">
        <f aca="false">C8/B8-1</f>
        <v>-0.0976794387479762</v>
      </c>
      <c r="E8" s="7"/>
    </row>
    <row r="9" customFormat="false" ht="15" hidden="false" customHeight="false" outlineLevel="0" collapsed="false">
      <c r="A9" s="10" t="s">
        <v>65</v>
      </c>
      <c r="B9" s="6" t="n">
        <v>0.406</v>
      </c>
      <c r="C9" s="6" t="n">
        <v>0.407</v>
      </c>
      <c r="D9" s="8" t="n">
        <f aca="false">C9-B9</f>
        <v>0.000999999999999945</v>
      </c>
      <c r="E9" s="7" t="s">
        <v>66</v>
      </c>
    </row>
    <row r="11" customFormat="false" ht="15" hidden="false" customHeight="false" outlineLevel="0" collapsed="false">
      <c r="A11" s="9" t="s">
        <v>67</v>
      </c>
    </row>
    <row r="12" customFormat="false" ht="15" hidden="false" customHeight="false" outlineLevel="0" collapsed="false">
      <c r="A12" s="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11" min="8" style="0" width="11"/>
  </cols>
  <sheetData>
    <row r="1" customFormat="false" ht="17.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3" t="s">
        <v>70</v>
      </c>
    </row>
    <row r="4" customFormat="false" ht="30" hidden="false" customHeight="true" outlineLevel="0" collapsed="false">
      <c r="A4" s="4" t="s">
        <v>71</v>
      </c>
      <c r="B4" s="4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13</v>
      </c>
      <c r="J4" s="5" t="s">
        <v>79</v>
      </c>
      <c r="K4" s="5" t="s">
        <v>80</v>
      </c>
    </row>
    <row r="5" customFormat="false" ht="15" hidden="false" customHeight="false" outlineLevel="0" collapsed="false">
      <c r="A5" s="10" t="s">
        <v>55</v>
      </c>
      <c r="B5" s="6" t="n">
        <v>2161</v>
      </c>
      <c r="C5" s="6" t="n">
        <v>1085</v>
      </c>
      <c r="D5" s="6" t="n">
        <v>412</v>
      </c>
      <c r="E5" s="6" t="n">
        <v>23</v>
      </c>
      <c r="F5" s="6" t="n">
        <v>87</v>
      </c>
      <c r="G5" s="6" t="n">
        <v>92</v>
      </c>
      <c r="H5" s="8" t="n">
        <f aca="false">C5/B5</f>
        <v>0.502082369273485</v>
      </c>
      <c r="I5" s="8" t="n">
        <f aca="false">D5/B5</f>
        <v>0.190652475705692</v>
      </c>
      <c r="J5" s="8" t="n">
        <f aca="false">E5/B5</f>
        <v>0.010643220731143</v>
      </c>
      <c r="K5" s="8" t="n">
        <f aca="false">F5/B5</f>
        <v>0.040259139287367</v>
      </c>
    </row>
    <row r="6" customFormat="false" ht="15" hidden="false" customHeight="false" outlineLevel="0" collapsed="false">
      <c r="A6" s="10" t="s">
        <v>56</v>
      </c>
      <c r="B6" s="6" t="n">
        <v>1975</v>
      </c>
      <c r="C6" s="6" t="n">
        <v>962</v>
      </c>
      <c r="D6" s="6" t="n">
        <v>328</v>
      </c>
      <c r="E6" s="6" t="n">
        <v>93</v>
      </c>
      <c r="F6" s="6" t="n">
        <v>75</v>
      </c>
      <c r="G6" s="6" t="n">
        <v>65</v>
      </c>
      <c r="H6" s="8" t="n">
        <f aca="false">C6/B6</f>
        <v>0.487088607594937</v>
      </c>
      <c r="I6" s="8" t="n">
        <f aca="false">D6/B6</f>
        <v>0.166075949367089</v>
      </c>
      <c r="J6" s="8" t="n">
        <f aca="false">E6/B6</f>
        <v>0.0470886075949367</v>
      </c>
      <c r="K6" s="8" t="n">
        <f aca="false">F6/B6</f>
        <v>0.0379746835443038</v>
      </c>
    </row>
    <row r="7" customFormat="false" ht="15" hidden="false" customHeight="false" outlineLevel="0" collapsed="false">
      <c r="A7" s="10" t="s">
        <v>81</v>
      </c>
      <c r="B7" s="6" t="n">
        <v>285</v>
      </c>
      <c r="C7" s="6" t="n">
        <v>160</v>
      </c>
      <c r="D7" s="6" t="n">
        <v>6</v>
      </c>
      <c r="E7" s="6" t="n">
        <v>70</v>
      </c>
      <c r="F7" s="6" t="n">
        <v>22</v>
      </c>
      <c r="G7" s="6" t="n">
        <v>6</v>
      </c>
      <c r="H7" s="8" t="n">
        <f aca="false">C7/B7</f>
        <v>0.56140350877193</v>
      </c>
      <c r="I7" s="8" t="n">
        <f aca="false">D7/B7</f>
        <v>0.0210526315789474</v>
      </c>
      <c r="J7" s="8" t="n">
        <f aca="false">E7/B7</f>
        <v>0.245614035087719</v>
      </c>
      <c r="K7" s="8" t="n">
        <f aca="false">F7/B7</f>
        <v>0.0771929824561404</v>
      </c>
    </row>
    <row r="9" customFormat="false" ht="15" hidden="false" customHeight="false" outlineLevel="0" collapsed="false">
      <c r="A9" s="9" t="s">
        <v>82</v>
      </c>
    </row>
    <row r="10" customFormat="false" ht="15" hidden="false" customHeight="false" outlineLevel="0" collapsed="false">
      <c r="A10" s="11" t="s">
        <v>83</v>
      </c>
    </row>
    <row r="11" customFormat="false" ht="15" hidden="false" customHeight="false" outlineLevel="0" collapsed="false">
      <c r="A11" s="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5" min="4" style="0" width="18"/>
  </cols>
  <sheetData>
    <row r="1" customFormat="false" ht="17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3" t="s">
        <v>86</v>
      </c>
    </row>
    <row r="4" customFormat="false" ht="30" hidden="false" customHeight="true" outlineLevel="0" collapsed="false">
      <c r="A4" s="4" t="s">
        <v>87</v>
      </c>
      <c r="B4" s="5" t="s">
        <v>88</v>
      </c>
      <c r="C4" s="4" t="s">
        <v>89</v>
      </c>
      <c r="D4" s="4" t="s">
        <v>90</v>
      </c>
      <c r="E4" s="4" t="s">
        <v>91</v>
      </c>
    </row>
    <row r="5" customFormat="false" ht="15" hidden="false" customHeight="false" outlineLevel="0" collapsed="false">
      <c r="A5" s="10" t="s">
        <v>92</v>
      </c>
      <c r="B5" s="6" t="n">
        <v>99</v>
      </c>
      <c r="C5" s="8" t="n">
        <f aca="false">B5/$B$8</f>
        <v>0.140625</v>
      </c>
      <c r="D5" s="6" t="n">
        <v>18</v>
      </c>
      <c r="E5" s="12" t="n">
        <v>0.893</v>
      </c>
    </row>
    <row r="6" customFormat="false" ht="15" hidden="false" customHeight="false" outlineLevel="0" collapsed="false">
      <c r="A6" s="10" t="s">
        <v>93</v>
      </c>
      <c r="B6" s="6" t="n">
        <v>57</v>
      </c>
      <c r="C6" s="8" t="n">
        <f aca="false">B6/$B$8</f>
        <v>0.0809659090909091</v>
      </c>
      <c r="D6" s="6" t="n">
        <v>35</v>
      </c>
      <c r="E6" s="12" t="n">
        <v>0.855</v>
      </c>
    </row>
    <row r="7" customFormat="false" ht="15" hidden="false" customHeight="false" outlineLevel="0" collapsed="false">
      <c r="A7" s="2" t="s">
        <v>94</v>
      </c>
      <c r="B7" s="6" t="n">
        <v>548</v>
      </c>
      <c r="C7" s="8" t="n">
        <f aca="false">B7/$B$8</f>
        <v>0.778409090909091</v>
      </c>
      <c r="D7" s="6"/>
      <c r="E7" s="12"/>
    </row>
    <row r="8" customFormat="false" ht="15" hidden="false" customHeight="false" outlineLevel="0" collapsed="false">
      <c r="A8" s="2" t="s">
        <v>95</v>
      </c>
      <c r="B8" s="6" t="n">
        <v>704</v>
      </c>
      <c r="C8" s="8" t="n">
        <f aca="false">B8/$B$8</f>
        <v>1</v>
      </c>
      <c r="D8" s="6"/>
      <c r="E8" s="12"/>
    </row>
    <row r="10" customFormat="false" ht="15" hidden="false" customHeight="false" outlineLevel="0" collapsed="false">
      <c r="A10" s="9" t="s">
        <v>96</v>
      </c>
    </row>
    <row r="11" customFormat="false" ht="15" hidden="false" customHeight="false" outlineLevel="0" collapsed="false">
      <c r="A11" s="1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8" min="3" style="0" width="9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3" t="s">
        <v>99</v>
      </c>
    </row>
    <row r="4" customFormat="false" ht="30" hidden="false" customHeight="true" outlineLevel="0" collapsed="false">
      <c r="A4" s="4" t="s">
        <v>100</v>
      </c>
      <c r="B4" s="4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4" t="s">
        <v>108</v>
      </c>
      <c r="J4" s="4" t="s">
        <v>109</v>
      </c>
      <c r="K4" s="4" t="s">
        <v>110</v>
      </c>
      <c r="L4" s="5" t="s">
        <v>111</v>
      </c>
      <c r="M4" s="5" t="s">
        <v>74</v>
      </c>
      <c r="N4" s="4" t="s">
        <v>112</v>
      </c>
    </row>
    <row r="5" customFormat="false" ht="15" hidden="false" customHeight="false" outlineLevel="0" collapsed="false">
      <c r="A5" s="10" t="s">
        <v>113</v>
      </c>
      <c r="B5" s="6" t="n">
        <v>811</v>
      </c>
      <c r="C5" s="6" t="n">
        <v>142</v>
      </c>
      <c r="D5" s="6" t="n">
        <v>30</v>
      </c>
      <c r="E5" s="6" t="n">
        <v>116</v>
      </c>
      <c r="F5" s="6" t="n">
        <v>43</v>
      </c>
      <c r="G5" s="6" t="n">
        <v>63</v>
      </c>
      <c r="H5" s="6" t="n">
        <v>0</v>
      </c>
      <c r="I5" s="13" t="n">
        <f aca="false">SUM(C5:H5)</f>
        <v>394</v>
      </c>
      <c r="J5" s="8" t="n">
        <f aca="false">C5/I5</f>
        <v>0.360406091370558</v>
      </c>
      <c r="K5" s="8" t="n">
        <f aca="false">C5/B5</f>
        <v>0.175092478421702</v>
      </c>
      <c r="L5" s="6" t="n">
        <v>89</v>
      </c>
      <c r="M5" s="6" t="n">
        <v>11</v>
      </c>
      <c r="N5" s="6" t="n">
        <v>40</v>
      </c>
    </row>
    <row r="6" customFormat="false" ht="15" hidden="false" customHeight="false" outlineLevel="0" collapsed="false">
      <c r="A6" s="10" t="s">
        <v>114</v>
      </c>
      <c r="B6" s="6" t="n">
        <v>949</v>
      </c>
      <c r="C6" s="6" t="n">
        <v>142</v>
      </c>
      <c r="D6" s="6" t="n">
        <v>68</v>
      </c>
      <c r="E6" s="6" t="n">
        <v>58</v>
      </c>
      <c r="F6" s="6" t="n">
        <v>37</v>
      </c>
      <c r="G6" s="6" t="n">
        <v>10</v>
      </c>
      <c r="H6" s="6" t="n">
        <v>0</v>
      </c>
      <c r="I6" s="13" t="n">
        <f aca="false">SUM(C6:H6)</f>
        <v>315</v>
      </c>
      <c r="J6" s="8" t="n">
        <f aca="false">C6/I6</f>
        <v>0.450793650793651</v>
      </c>
      <c r="K6" s="8" t="n">
        <f aca="false">C6/B6</f>
        <v>0.149631190727081</v>
      </c>
      <c r="L6" s="6" t="n">
        <v>58</v>
      </c>
      <c r="M6" s="6"/>
      <c r="N6" s="6" t="n">
        <v>24</v>
      </c>
    </row>
    <row r="7" customFormat="false" ht="15" hidden="false" customHeight="false" outlineLevel="0" collapsed="false">
      <c r="A7" s="10" t="s">
        <v>115</v>
      </c>
      <c r="B7" s="6" t="n">
        <v>1175</v>
      </c>
      <c r="C7" s="6" t="n">
        <v>181</v>
      </c>
      <c r="D7" s="6" t="n">
        <v>103</v>
      </c>
      <c r="E7" s="6" t="n">
        <v>88</v>
      </c>
      <c r="F7" s="6" t="n">
        <v>0</v>
      </c>
      <c r="G7" s="6" t="n">
        <v>0</v>
      </c>
      <c r="H7" s="6" t="n">
        <v>68</v>
      </c>
      <c r="I7" s="13" t="n">
        <f aca="false">SUM(C7:H7)</f>
        <v>440</v>
      </c>
      <c r="J7" s="8" t="n">
        <f aca="false">C7/I7</f>
        <v>0.411363636363636</v>
      </c>
      <c r="K7" s="8" t="n">
        <f aca="false">C7/B7</f>
        <v>0.154042553191489</v>
      </c>
      <c r="L7" s="6" t="n">
        <v>87</v>
      </c>
      <c r="M7" s="6"/>
      <c r="N7" s="6" t="n">
        <v>219</v>
      </c>
    </row>
    <row r="8" customFormat="false" ht="15" hidden="false" customHeight="false" outlineLevel="0" collapsed="false">
      <c r="A8" s="10" t="s">
        <v>116</v>
      </c>
      <c r="B8" s="6" t="n">
        <v>1539</v>
      </c>
      <c r="C8" s="6" t="n">
        <v>127</v>
      </c>
      <c r="D8" s="6" t="n">
        <v>79</v>
      </c>
      <c r="E8" s="6" t="n">
        <v>18</v>
      </c>
      <c r="F8" s="6" t="n">
        <v>0</v>
      </c>
      <c r="G8" s="6" t="n">
        <v>0</v>
      </c>
      <c r="H8" s="6" t="n">
        <v>0</v>
      </c>
      <c r="I8" s="13" t="n">
        <f aca="false">SUM(C8:H8)</f>
        <v>224</v>
      </c>
      <c r="J8" s="8" t="n">
        <f aca="false">C8/I8</f>
        <v>0.566964285714286</v>
      </c>
      <c r="K8" s="8" t="n">
        <f aca="false">C8/B8</f>
        <v>0.0825211176088369</v>
      </c>
      <c r="L8" s="6" t="n">
        <v>76</v>
      </c>
      <c r="M8" s="6" t="n">
        <v>183</v>
      </c>
      <c r="N8" s="6" t="n">
        <v>381</v>
      </c>
    </row>
    <row r="10" customFormat="false" ht="15" hidden="false" customHeight="false" outlineLevel="0" collapsed="false">
      <c r="A10" s="9" t="s">
        <v>117</v>
      </c>
    </row>
    <row r="11" customFormat="false" ht="15" hidden="false" customHeight="false" outlineLevel="0" collapsed="false">
      <c r="A11" s="11" t="s">
        <v>118</v>
      </c>
    </row>
    <row r="12" customFormat="false" ht="15" hidden="false" customHeight="false" outlineLevel="0" collapsed="false">
      <c r="A12" s="1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9"/>
  </cols>
  <sheetData>
    <row r="1" customFormat="false" ht="17.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3" t="s">
        <v>121</v>
      </c>
    </row>
    <row r="4" customFormat="false" ht="30" hidden="false" customHeight="true" outlineLevel="0" collapsed="false">
      <c r="A4" s="4" t="s">
        <v>122</v>
      </c>
      <c r="B4" s="5" t="s">
        <v>123</v>
      </c>
      <c r="C4" s="5" t="s">
        <v>124</v>
      </c>
      <c r="D4" s="5" t="s">
        <v>125</v>
      </c>
      <c r="E4" s="5" t="s">
        <v>126</v>
      </c>
      <c r="F4" s="5" t="s">
        <v>55</v>
      </c>
      <c r="G4" s="5" t="s">
        <v>56</v>
      </c>
    </row>
    <row r="5" customFormat="false" ht="15" hidden="false" customHeight="false" outlineLevel="0" collapsed="false">
      <c r="A5" s="10" t="s">
        <v>127</v>
      </c>
      <c r="B5" s="6" t="n">
        <v>1</v>
      </c>
      <c r="C5" s="6" t="n">
        <v>31</v>
      </c>
      <c r="D5" s="6" t="n">
        <v>17</v>
      </c>
      <c r="E5" s="6" t="n">
        <v>6</v>
      </c>
      <c r="F5" s="6" t="n">
        <v>2</v>
      </c>
      <c r="G5" s="6" t="n">
        <v>0</v>
      </c>
    </row>
    <row r="6" customFormat="false" ht="15" hidden="false" customHeight="false" outlineLevel="0" collapsed="false">
      <c r="A6" s="10" t="s">
        <v>128</v>
      </c>
      <c r="B6" s="6" t="n">
        <v>0</v>
      </c>
      <c r="C6" s="6" t="n">
        <v>0</v>
      </c>
      <c r="D6" s="6" t="n">
        <v>1</v>
      </c>
      <c r="E6" s="6" t="n">
        <v>3</v>
      </c>
      <c r="F6" s="6" t="n">
        <v>19</v>
      </c>
      <c r="G6" s="6" t="n">
        <v>9</v>
      </c>
    </row>
    <row r="7" customFormat="false" ht="15" hidden="false" customHeight="false" outlineLevel="0" collapsed="false">
      <c r="A7" s="10" t="s">
        <v>129</v>
      </c>
      <c r="B7" s="6" t="n">
        <v>0</v>
      </c>
      <c r="C7" s="6" t="n">
        <v>0</v>
      </c>
      <c r="D7" s="6" t="n">
        <v>3</v>
      </c>
      <c r="E7" s="6" t="n">
        <v>4</v>
      </c>
      <c r="F7" s="6" t="n">
        <v>10</v>
      </c>
      <c r="G7" s="6" t="n">
        <v>7</v>
      </c>
    </row>
    <row r="8" customFormat="false" ht="15" hidden="false" customHeight="false" outlineLevel="0" collapsed="false">
      <c r="A8" s="10" t="s">
        <v>130</v>
      </c>
      <c r="B8" s="6" t="n">
        <v>1</v>
      </c>
      <c r="C8" s="6" t="n">
        <v>9</v>
      </c>
      <c r="D8" s="6" t="n">
        <v>7</v>
      </c>
      <c r="E8" s="6" t="n">
        <v>1</v>
      </c>
      <c r="F8" s="6" t="n">
        <v>1</v>
      </c>
      <c r="G8" s="6" t="n">
        <v>1</v>
      </c>
    </row>
    <row r="9" customFormat="false" ht="15" hidden="false" customHeight="false" outlineLevel="0" collapsed="false">
      <c r="A9" s="10" t="s">
        <v>131</v>
      </c>
      <c r="B9" s="6" t="n">
        <v>3</v>
      </c>
      <c r="C9" s="6" t="n">
        <v>1</v>
      </c>
      <c r="D9" s="6" t="n">
        <v>8</v>
      </c>
      <c r="E9" s="6" t="n">
        <v>0</v>
      </c>
      <c r="F9" s="6" t="n">
        <v>7</v>
      </c>
      <c r="G9" s="6" t="n">
        <v>0</v>
      </c>
    </row>
    <row r="10" customFormat="false" ht="15" hidden="false" customHeight="false" outlineLevel="0" collapsed="false">
      <c r="A10" s="10" t="s">
        <v>132</v>
      </c>
      <c r="B10" s="6" t="n">
        <v>2</v>
      </c>
      <c r="C10" s="6" t="n">
        <v>0</v>
      </c>
      <c r="D10" s="6" t="n">
        <v>10</v>
      </c>
      <c r="E10" s="6" t="n">
        <v>3</v>
      </c>
      <c r="F10" s="6" t="n">
        <v>0</v>
      </c>
      <c r="G10" s="6" t="n">
        <v>2</v>
      </c>
    </row>
    <row r="11" customFormat="false" ht="15" hidden="false" customHeight="false" outlineLevel="0" collapsed="false">
      <c r="A11" s="10" t="s">
        <v>133</v>
      </c>
      <c r="B11" s="6" t="n">
        <v>0</v>
      </c>
      <c r="C11" s="6" t="n">
        <v>0</v>
      </c>
      <c r="D11" s="6" t="n">
        <v>2</v>
      </c>
      <c r="E11" s="6" t="n">
        <v>0</v>
      </c>
      <c r="F11" s="6" t="n">
        <v>0</v>
      </c>
      <c r="G11" s="6" t="n">
        <v>0</v>
      </c>
    </row>
    <row r="12" customFormat="false" ht="15" hidden="false" customHeight="false" outlineLevel="0" collapsed="false">
      <c r="A12" s="10" t="s">
        <v>134</v>
      </c>
      <c r="B12" s="6" t="n">
        <v>0</v>
      </c>
      <c r="C12" s="6" t="n">
        <v>0</v>
      </c>
      <c r="D12" s="6" t="n">
        <v>1</v>
      </c>
      <c r="E12" s="6" t="n">
        <v>0</v>
      </c>
      <c r="F12" s="6" t="n">
        <v>5</v>
      </c>
      <c r="G12" s="6" t="n">
        <v>1</v>
      </c>
    </row>
    <row r="13" customFormat="false" ht="15" hidden="false" customHeight="false" outlineLevel="0" collapsed="false">
      <c r="A13" s="2" t="s">
        <v>135</v>
      </c>
      <c r="B13" s="13" t="n">
        <f aca="false">SUM(B5:B12)</f>
        <v>7</v>
      </c>
      <c r="C13" s="13" t="n">
        <f aca="false">SUM(C5:C12)</f>
        <v>41</v>
      </c>
      <c r="D13" s="13" t="n">
        <f aca="false">SUM(D5:D12)</f>
        <v>49</v>
      </c>
      <c r="E13" s="13" t="n">
        <f aca="false">SUM(E5:E12)</f>
        <v>17</v>
      </c>
      <c r="F13" s="13" t="n">
        <f aca="false">SUM(F5:F12)</f>
        <v>44</v>
      </c>
      <c r="G13" s="13" t="n">
        <f aca="false">SUM(G5:G12)</f>
        <v>20</v>
      </c>
    </row>
    <row r="14" customFormat="false" ht="15" hidden="false" customHeight="false" outlineLevel="0" collapsed="false">
      <c r="A14" s="10" t="s">
        <v>136</v>
      </c>
      <c r="B14" s="14" t="n">
        <f aca="false">(B6+B7)/B13</f>
        <v>0</v>
      </c>
      <c r="C14" s="14" t="n">
        <f aca="false">(C6+C7)/C13</f>
        <v>0</v>
      </c>
      <c r="D14" s="14" t="n">
        <f aca="false">(D6+D7)/D13</f>
        <v>0.0816326530612245</v>
      </c>
      <c r="E14" s="14" t="n">
        <f aca="false">(E6+E7)/E13</f>
        <v>0.411764705882353</v>
      </c>
      <c r="F14" s="14" t="n">
        <f aca="false">(F6+F7)/F13</f>
        <v>0.659090909090909</v>
      </c>
      <c r="G14" s="14" t="n">
        <f aca="false">(G6+G7)/G13</f>
        <v>0.8</v>
      </c>
    </row>
    <row r="16" customFormat="false" ht="15" hidden="false" customHeight="false" outlineLevel="0" collapsed="false">
      <c r="A16" s="9" t="s">
        <v>137</v>
      </c>
    </row>
    <row r="17" customFormat="false" ht="15" hidden="false" customHeight="false" outlineLevel="0" collapsed="false">
      <c r="A17" s="11" t="s">
        <v>138</v>
      </c>
    </row>
    <row r="18" customFormat="false" ht="15" hidden="false" customHeight="false" outlineLevel="0" collapsed="false">
      <c r="A18" s="9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8" min="7" style="0" width="11"/>
  </cols>
  <sheetData>
    <row r="1" customFormat="false" ht="17.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3" t="s">
        <v>141</v>
      </c>
    </row>
    <row r="4" customFormat="false" ht="30" hidden="false" customHeight="true" outlineLevel="0" collapsed="false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</row>
    <row r="5" customFormat="false" ht="15" hidden="false" customHeight="false" outlineLevel="0" collapsed="false">
      <c r="A5" s="10" t="s">
        <v>150</v>
      </c>
      <c r="B5" s="12"/>
      <c r="C5" s="12"/>
      <c r="D5" s="12"/>
      <c r="E5" s="12"/>
      <c r="F5" s="12" t="n">
        <v>0.193</v>
      </c>
      <c r="G5" s="12" t="n">
        <v>0.389</v>
      </c>
      <c r="H5" s="12" t="n">
        <v>0.083</v>
      </c>
    </row>
    <row r="6" customFormat="false" ht="15" hidden="false" customHeight="false" outlineLevel="0" collapsed="false">
      <c r="A6" s="10" t="s">
        <v>151</v>
      </c>
      <c r="B6" s="12"/>
      <c r="C6" s="12"/>
      <c r="D6" s="12"/>
      <c r="E6" s="12"/>
      <c r="F6" s="12" t="n">
        <v>0.24</v>
      </c>
      <c r="G6" s="12" t="n">
        <v>0.374</v>
      </c>
      <c r="H6" s="12" t="n">
        <v>0.039</v>
      </c>
    </row>
    <row r="7" customFormat="false" ht="15" hidden="false" customHeight="false" outlineLevel="0" collapsed="false">
      <c r="A7" s="10" t="s">
        <v>152</v>
      </c>
      <c r="B7" s="12" t="n">
        <v>0.293</v>
      </c>
      <c r="C7" s="12" t="n">
        <v>0.383</v>
      </c>
      <c r="D7" s="12" t="n">
        <v>0.079</v>
      </c>
      <c r="E7" s="12" t="n">
        <v>0.076</v>
      </c>
      <c r="F7" s="12" t="n">
        <v>0.233</v>
      </c>
      <c r="G7" s="12" t="n">
        <v>0.409</v>
      </c>
      <c r="H7" s="12" t="n">
        <v>0.062</v>
      </c>
    </row>
    <row r="8" customFormat="false" ht="15" hidden="false" customHeight="false" outlineLevel="0" collapsed="false">
      <c r="A8" s="10" t="s">
        <v>153</v>
      </c>
      <c r="B8" s="12"/>
      <c r="C8" s="12"/>
      <c r="D8" s="12"/>
      <c r="E8" s="12"/>
      <c r="F8" s="12" t="n">
        <v>0.171</v>
      </c>
      <c r="G8" s="12" t="n">
        <v>0.543</v>
      </c>
      <c r="H8" s="12" t="n">
        <v>0.053</v>
      </c>
    </row>
    <row r="9" customFormat="false" ht="15" hidden="false" customHeight="false" outlineLevel="0" collapsed="false">
      <c r="A9" s="10" t="s">
        <v>154</v>
      </c>
      <c r="B9" s="12" t="n">
        <v>0.201</v>
      </c>
      <c r="C9" s="12" t="n">
        <v>0.406</v>
      </c>
      <c r="D9" s="12" t="n">
        <v>0.116</v>
      </c>
      <c r="E9" s="12" t="n">
        <v>0.088</v>
      </c>
      <c r="F9" s="12"/>
      <c r="G9" s="12"/>
      <c r="H9" s="12"/>
    </row>
    <row r="10" customFormat="false" ht="15" hidden="false" customHeight="false" outlineLevel="0" collapsed="false">
      <c r="A10" s="10" t="s">
        <v>155</v>
      </c>
      <c r="B10" s="12" t="n">
        <v>0.177</v>
      </c>
      <c r="C10" s="12" t="n">
        <v>0.396</v>
      </c>
      <c r="D10" s="12" t="n">
        <v>0.14</v>
      </c>
      <c r="E10" s="12" t="n">
        <v>0.08</v>
      </c>
      <c r="F10" s="12" t="n">
        <v>0.091</v>
      </c>
      <c r="G10" s="12" t="n">
        <v>0.66</v>
      </c>
      <c r="H10" s="12" t="n">
        <v>0.053</v>
      </c>
    </row>
    <row r="11" customFormat="false" ht="15" hidden="false" customHeight="false" outlineLevel="0" collapsed="false">
      <c r="A11" s="10" t="s">
        <v>156</v>
      </c>
      <c r="B11" s="12" t="n">
        <v>0.178</v>
      </c>
      <c r="C11" s="12" t="n">
        <v>0.402</v>
      </c>
      <c r="D11" s="12" t="n">
        <v>0.181</v>
      </c>
      <c r="E11" s="12" t="n">
        <v>0.085</v>
      </c>
      <c r="F11" s="12" t="n">
        <v>0.069</v>
      </c>
      <c r="G11" s="12" t="n">
        <v>0.677</v>
      </c>
      <c r="H11" s="12" t="n">
        <v>0.038</v>
      </c>
    </row>
    <row r="13" customFormat="false" ht="15" hidden="false" customHeight="false" outlineLevel="0" collapsed="false">
      <c r="A13" s="9" t="s">
        <v>157</v>
      </c>
    </row>
    <row r="14" customFormat="false" ht="15" hidden="false" customHeight="false" outlineLevel="0" collapsed="false">
      <c r="A14" s="9" t="s">
        <v>158</v>
      </c>
    </row>
    <row r="15" customFormat="false" ht="15" hidden="false" customHeight="false" outlineLevel="0" collapsed="false">
      <c r="A15" s="9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2026-09-06T09:56:55Z</dcterms:created>
  <dc:creator>openpyxl</dc:creator>
  <dc:description/>
  <dc:language>en-US</dc:language>
  <cp:lastModifiedBy/>
  <dcterms:modified xsi:type="dcterms:W3CDTF">2026-09-06T09:56:55Z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