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enarios" sheetId="1" state="visible" r:id="rId1"/>
    <sheet xmlns:r="http://schemas.openxmlformats.org/officeDocument/2006/relationships" name="Drivers" sheetId="2" state="visible" r:id="rId2"/>
    <sheet xmlns:r="http://schemas.openxmlformats.org/officeDocument/2006/relationships" name="FS" sheetId="3" state="visible" r:id="rId3"/>
    <sheet xmlns:r="http://schemas.openxmlformats.org/officeDocument/2006/relationships" name="Valuation" sheetId="4" state="visible" r:id="rId4"/>
    <sheet xmlns:r="http://schemas.openxmlformats.org/officeDocument/2006/relationships" name="Industry" sheetId="5" state="visible" r:id="rId5"/>
    <sheet xmlns:r="http://schemas.openxmlformats.org/officeDocument/2006/relationships" name="Comp" sheetId="6" state="visible" r:id="rId6"/>
    <sheet xmlns:r="http://schemas.openxmlformats.org/officeDocument/2006/relationships" name="Summary" sheetId="7" state="visible" r:id="rId7"/>
    <sheet xmlns:r="http://schemas.openxmlformats.org/officeDocument/2006/relationships" name="Debt" sheetId="8" state="visible" r:id="rId8"/>
    <sheet xmlns:r="http://schemas.openxmlformats.org/officeDocument/2006/relationships" name="Customers" sheetId="9" state="visible" r:id="rId9"/>
    <sheet xmlns:r="http://schemas.openxmlformats.org/officeDocument/2006/relationships" name="Cycle" sheetId="10" state="visible" r:id="rId10"/>
    <sheet xmlns:r="http://schemas.openxmlformats.org/officeDocument/2006/relationships" name="Checks" sheetId="11" state="visible" r:id="rId11"/>
  </sheets>
  <definedNames/>
  <calcPr calcId="124519" fullCalcOnLoad="1"/>
</workbook>
</file>

<file path=xl/styles.xml><?xml version="1.0" encoding="utf-8"?>
<styleSheet xmlns="http://schemas.openxmlformats.org/spreadsheetml/2006/main">
  <numFmts count="16">
    <numFmt numFmtId="164" formatCode="0.0_);[Red](0.0);&quot;–&quot;"/>
    <numFmt numFmtId="165" formatCode="#,##0.0_);[Red](#,##0.0);&quot;–&quot;"/>
    <numFmt numFmtId="166" formatCode="0.0%"/>
    <numFmt numFmtId="167" formatCode="0.00_);[Red](0.00);&quot;–&quot;"/>
    <numFmt numFmtId="168" formatCode="0_);[Red](0);&quot;–&quot;"/>
    <numFmt numFmtId="169" formatCode="_(* #,##0.0_);_(* (#,##0.0);&quot;OK!&quot;;&quot;ERROR&quot;"/>
    <numFmt numFmtId="170" formatCode="#,##0_);[Red](#,##0);&quot;–&quot;"/>
    <numFmt numFmtId="171" formatCode="0.000"/>
    <numFmt numFmtId="172" formatCode="0.0&quot;x&quot;_);[Red](0.0&quot;x&quot;);&quot;–&quot;"/>
    <numFmt numFmtId="173" formatCode="0.0000"/>
    <numFmt numFmtId="174" formatCode="0.00&quot;x&quot;"/>
    <numFmt numFmtId="175" formatCode="0.0&quot;x&quot;"/>
    <numFmt numFmtId="176" formatCode="0.0"/>
    <numFmt numFmtId="177" formatCode="0.0;[Red]-0.0;&quot;OK&quot;"/>
    <numFmt numFmtId="178" formatCode="0.000_);[Red](0.000);&quot;–&quot;"/>
    <numFmt numFmtId="179" formatCode="0.0%_);[Red](0.0%);&quot;–&quot;"/>
  </numFmts>
  <fonts count="40">
    <font>
      <name val="Calibri"/>
      <family val="2"/>
      <color theme="1"/>
      <sz val="11"/>
      <scheme val="minor"/>
    </font>
    <font>
      <b val="1"/>
      <sz val="14"/>
    </font>
    <font>
      <i val="1"/>
      <color rgb="00808080"/>
      <sz val="10"/>
    </font>
    <font>
      <b val="1"/>
      <sz val="12"/>
    </font>
    <font>
      <name val="Arial"/>
      <b val="1"/>
      <color rgb="00FFFFFF"/>
    </font>
    <font>
      <name val="Arial"/>
      <b val="1"/>
    </font>
    <font>
      <name val="Arial"/>
      <color rgb="001F4FD1"/>
    </font>
    <font>
      <name val="Arial"/>
      <i val="1"/>
      <color rgb="000F7A3D"/>
    </font>
    <font>
      <name val="Arial"/>
      <b val="1"/>
      <color rgb="001F2933"/>
    </font>
    <font>
      <name val="Arial"/>
      <color rgb="001F2933"/>
    </font>
    <font>
      <b val="1"/>
      <sz val="11"/>
    </font>
    <font>
      <name val="Arial"/>
      <i val="1"/>
      <color rgb="001F2933"/>
    </font>
    <font>
      <name val="Arial"/>
      <color rgb="000F7A3D"/>
    </font>
    <font>
      <name val="Arial"/>
      <b val="1"/>
      <color rgb="000F7A3D"/>
    </font>
    <font>
      <i val="1"/>
      <color rgb="00595959"/>
    </font>
    <font>
      <color rgb="000000FF"/>
    </font>
    <font>
      <name val="Arial"/>
      <b val="1"/>
      <color rgb="001F4FD1"/>
    </font>
    <font>
      <name val="Arial"/>
      <b val="1"/>
      <i val="1"/>
      <color rgb="001F2933"/>
    </font>
    <font>
      <b val="1"/>
      <color rgb="001F4FD1"/>
    </font>
    <font>
      <color rgb="001F4FD1"/>
    </font>
    <font>
      <i val="1"/>
      <color rgb="00808080"/>
      <sz val="9"/>
    </font>
    <font>
      <color rgb="00404040"/>
      <sz val="9"/>
    </font>
    <font>
      <i val="1"/>
    </font>
    <font>
      <i val="1"/>
      <color rgb="00808080"/>
    </font>
    <font>
      <sz val="9"/>
    </font>
    <font>
      <b val="1"/>
      <color rgb="001F4FD1"/>
      <sz val="12"/>
    </font>
    <font>
      <name val="Arial"/>
      <b val="1"/>
      <sz val="14"/>
    </font>
    <font>
      <name val="Arial"/>
      <i val="1"/>
      <color rgb="007F7F7F"/>
    </font>
    <font>
      <name val="Arial"/>
      <color theme="1"/>
      <sz val="11"/>
    </font>
    <font>
      <name val="Arial"/>
      <i val="1"/>
      <color rgb="00808080"/>
      <sz val="10"/>
    </font>
    <font>
      <name val="Arial"/>
      <b val="1"/>
      <sz val="12"/>
    </font>
    <font>
      <name val="Arial"/>
      <b val="1"/>
      <sz val="11"/>
    </font>
    <font>
      <name val="Arial"/>
      <i val="1"/>
      <color rgb="00595959"/>
    </font>
    <font>
      <name val="Arial"/>
      <color rgb="000000FF"/>
    </font>
    <font>
      <name val="Arial"/>
      <i val="1"/>
      <color rgb="00808080"/>
      <sz val="9"/>
    </font>
    <font>
      <name val="Arial"/>
      <color rgb="00404040"/>
      <sz val="9"/>
    </font>
    <font>
      <name val="Arial"/>
      <i val="1"/>
    </font>
    <font>
      <name val="Arial"/>
      <i val="1"/>
      <color rgb="00808080"/>
    </font>
    <font>
      <name val="Arial"/>
      <b val="1"/>
      <color rgb="001F4FD1"/>
      <sz val="12"/>
    </font>
    <font>
      <name val="Arial"/>
      <sz val="9"/>
    </font>
  </fonts>
  <fills count="7">
    <fill>
      <patternFill/>
    </fill>
    <fill>
      <patternFill patternType="gray125"/>
    </fill>
    <fill>
      <patternFill patternType="solid">
        <fgColor rgb="00DCE6F4"/>
      </patternFill>
    </fill>
    <fill>
      <patternFill patternType="solid">
        <fgColor rgb="001F3A5F"/>
      </patternFill>
    </fill>
    <fill>
      <patternFill patternType="solid">
        <fgColor rgb="002E5598"/>
      </patternFill>
    </fill>
    <fill>
      <patternFill patternType="solid">
        <fgColor rgb="00DDEBF7"/>
      </patternFill>
    </fill>
    <fill>
      <patternFill patternType="solid">
        <fgColor rgb="00FFF3C4"/>
      </patternFill>
    </fill>
  </fills>
  <borders count="1">
    <border>
      <left/>
      <right/>
      <top/>
      <bottom/>
      <diagonal/>
    </border>
  </borders>
  <cellStyleXfs count="1">
    <xf numFmtId="0" fontId="0" fillId="0" borderId="0"/>
  </cellStyleXfs>
  <cellXfs count="105">
    <xf numFmtId="0" fontId="0" fillId="0" borderId="0" pivotButton="0" quotePrefix="0" xfId="0"/>
    <xf numFmtId="0" fontId="26" fillId="0" borderId="0" pivotButton="0" quotePrefix="0" xfId="0"/>
    <xf numFmtId="0" fontId="28" fillId="0" borderId="0" pivotButton="0" quotePrefix="0" xfId="0"/>
    <xf numFmtId="0" fontId="5" fillId="0" borderId="0" pivotButton="0" quotePrefix="0" xfId="0"/>
    <xf numFmtId="1" fontId="6" fillId="6" borderId="0" pivotButton="0" quotePrefix="0" xfId="0"/>
    <xf numFmtId="49" fontId="8" fillId="0" borderId="0" pivotButton="0" quotePrefix="0" xfId="0"/>
    <xf numFmtId="0" fontId="4" fillId="3" borderId="0" pivotButton="0" quotePrefix="0" xfId="0"/>
    <xf numFmtId="0" fontId="28" fillId="0" borderId="0" applyAlignment="1" pivotButton="0" quotePrefix="0" xfId="0">
      <alignment vertical="top" wrapText="1"/>
    </xf>
    <xf numFmtId="49" fontId="9" fillId="0" borderId="0" applyAlignment="1" pivotButton="0" quotePrefix="0" xfId="0">
      <alignment vertical="top" wrapText="1"/>
    </xf>
    <xf numFmtId="165" fontId="12" fillId="0" borderId="0" pivotButton="0" quotePrefix="0" xfId="0"/>
    <xf numFmtId="165" fontId="6" fillId="0" borderId="0" pivotButton="0" quotePrefix="0" xfId="0"/>
    <xf numFmtId="165" fontId="13" fillId="0" borderId="0" pivotButton="0" quotePrefix="0" xfId="0"/>
    <xf numFmtId="164" fontId="11" fillId="0" borderId="0" pivotButton="0" quotePrefix="0" xfId="0"/>
    <xf numFmtId="167" fontId="6" fillId="0" borderId="0" pivotButton="0" quotePrefix="0" xfId="0"/>
    <xf numFmtId="167" fontId="12" fillId="0" borderId="0" pivotButton="0" quotePrefix="0" xfId="0"/>
    <xf numFmtId="170" fontId="6" fillId="0" borderId="0" pivotButton="0" quotePrefix="0" xfId="0"/>
    <xf numFmtId="170" fontId="12" fillId="0" borderId="0" pivotButton="0" quotePrefix="0" xfId="0"/>
    <xf numFmtId="172" fontId="6" fillId="0" borderId="0" pivotButton="0" quotePrefix="0" xfId="0"/>
    <xf numFmtId="172" fontId="9" fillId="0" borderId="0" pivotButton="0" quotePrefix="0" xfId="0"/>
    <xf numFmtId="178" fontId="6" fillId="0" borderId="0" pivotButton="0" quotePrefix="0" xfId="0"/>
    <xf numFmtId="178" fontId="9" fillId="0" borderId="0" pivotButton="0" quotePrefix="0" xfId="0"/>
    <xf numFmtId="2" fontId="6" fillId="0" borderId="0" pivotButton="0" quotePrefix="0" xfId="0"/>
    <xf numFmtId="2" fontId="9" fillId="0" borderId="0" pivotButton="0" quotePrefix="0" xfId="0"/>
    <xf numFmtId="170" fontId="8" fillId="0" borderId="0" pivotButton="0" quotePrefix="0" xfId="0"/>
    <xf numFmtId="179" fontId="11" fillId="0" borderId="0" pivotButton="0" quotePrefix="0" xfId="0"/>
    <xf numFmtId="179" fontId="17" fillId="0" borderId="0" pivotButton="0" quotePrefix="0" xfId="0"/>
    <xf numFmtId="170" fontId="9" fillId="0" borderId="0" pivotButton="0" quotePrefix="0" xfId="0"/>
    <xf numFmtId="2" fontId="8" fillId="0" borderId="0" pivotButton="0" quotePrefix="0" xfId="0"/>
    <xf numFmtId="1" fontId="6" fillId="0" borderId="0" pivotButton="0" quotePrefix="0" xfId="0"/>
    <xf numFmtId="1" fontId="8" fillId="0" borderId="0" pivotButton="0" quotePrefix="0" xfId="0"/>
    <xf numFmtId="176" fontId="6" fillId="0" borderId="0" pivotButton="0" quotePrefix="0" xfId="0"/>
    <xf numFmtId="176" fontId="8" fillId="0" borderId="0" pivotButton="0" quotePrefix="0" xfId="0"/>
    <xf numFmtId="0" fontId="27" fillId="0" borderId="0" pivotButton="0" quotePrefix="0" xfId="0"/>
    <xf numFmtId="164" fontId="6" fillId="0" borderId="0" pivotButton="0" quotePrefix="0" xfId="0"/>
    <xf numFmtId="164" fontId="17" fillId="6" borderId="0" pivotButton="0" quotePrefix="0" xfId="0"/>
    <xf numFmtId="0" fontId="29" fillId="0" borderId="0" pivotButton="0" quotePrefix="0" xfId="0"/>
    <xf numFmtId="0" fontId="30" fillId="2" borderId="0" pivotButton="0" quotePrefix="0" xfId="0"/>
    <xf numFmtId="0" fontId="4" fillId="3" borderId="0" applyAlignment="1" pivotButton="0" quotePrefix="0" xfId="0">
      <alignment horizontal="center"/>
    </xf>
    <xf numFmtId="0" fontId="4" fillId="4" borderId="0" applyAlignment="1" pivotButton="0" quotePrefix="0" xfId="0">
      <alignment horizontal="center"/>
    </xf>
    <xf numFmtId="0" fontId="4" fillId="5" borderId="0" applyAlignment="1" pivotButton="0" quotePrefix="0" xfId="0">
      <alignment horizontal="center"/>
    </xf>
    <xf numFmtId="164" fontId="7" fillId="6" borderId="0" pivotButton="0" quotePrefix="0" xfId="0"/>
    <xf numFmtId="165" fontId="9" fillId="5" borderId="0" pivotButton="0" quotePrefix="0" xfId="0"/>
    <xf numFmtId="165" fontId="8" fillId="0" borderId="0" pivotButton="0" quotePrefix="0" xfId="0"/>
    <xf numFmtId="165" fontId="8" fillId="5" borderId="0" pivotButton="0" quotePrefix="0" xfId="0"/>
    <xf numFmtId="166" fontId="6" fillId="0" borderId="0" pivotButton="0" quotePrefix="0" xfId="0"/>
    <xf numFmtId="0" fontId="31" fillId="0" borderId="0" pivotButton="0" quotePrefix="0" xfId="0"/>
    <xf numFmtId="0" fontId="4" fillId="2" borderId="0" applyAlignment="1" pivotButton="0" quotePrefix="0" xfId="0">
      <alignment horizontal="center"/>
    </xf>
    <xf numFmtId="165" fontId="12" fillId="5" borderId="0" pivotButton="0" quotePrefix="0" xfId="0"/>
    <xf numFmtId="166" fontId="11" fillId="0" borderId="0" pivotButton="0" quotePrefix="0" xfId="0"/>
    <xf numFmtId="0" fontId="32" fillId="0" borderId="0" pivotButton="0" quotePrefix="0" xfId="0"/>
    <xf numFmtId="165" fontId="9" fillId="0" borderId="0" pivotButton="0" quotePrefix="0" xfId="0"/>
    <xf numFmtId="164" fontId="11" fillId="5" borderId="0" pivotButton="0" quotePrefix="0" xfId="0"/>
    <xf numFmtId="165" fontId="13" fillId="5" borderId="0" pivotButton="0" quotePrefix="0" xfId="0"/>
    <xf numFmtId="164" fontId="7" fillId="0" borderId="0" pivotButton="0" quotePrefix="0" xfId="0"/>
    <xf numFmtId="167" fontId="9" fillId="0" borderId="0" pivotButton="0" quotePrefix="0" xfId="0"/>
    <xf numFmtId="167" fontId="8" fillId="5" borderId="0" pivotButton="0" quotePrefix="0" xfId="0"/>
    <xf numFmtId="167" fontId="9" fillId="5" borderId="0" pivotButton="0" quotePrefix="0" xfId="0"/>
    <xf numFmtId="165" fontId="16" fillId="0" borderId="0" pivotButton="0" quotePrefix="0" xfId="0"/>
    <xf numFmtId="169" fontId="9" fillId="0" borderId="0" pivotButton="0" quotePrefix="0" xfId="0"/>
    <xf numFmtId="0" fontId="5" fillId="2" borderId="0" pivotButton="0" quotePrefix="0" xfId="0"/>
    <xf numFmtId="168" fontId="12" fillId="0" borderId="0" pivotButton="0" quotePrefix="0" xfId="0"/>
    <xf numFmtId="168" fontId="33" fillId="5" borderId="0" pivotButton="0" quotePrefix="0" xfId="0"/>
    <xf numFmtId="168" fontId="9" fillId="5" borderId="0" pivotButton="0" quotePrefix="0" xfId="0"/>
    <xf numFmtId="168" fontId="12" fillId="6" borderId="0" pivotButton="0" quotePrefix="0" xfId="0"/>
    <xf numFmtId="165" fontId="16" fillId="5" borderId="0" pivotButton="0" quotePrefix="0" xfId="0"/>
    <xf numFmtId="164" fontId="6" fillId="6" borderId="0" pivotButton="0" quotePrefix="0" xfId="0"/>
    <xf numFmtId="0" fontId="34" fillId="0" borderId="0" pivotButton="0" quotePrefix="0" xfId="0"/>
    <xf numFmtId="171" fontId="6" fillId="6" borderId="0" pivotButton="0" quotePrefix="0" xfId="0"/>
    <xf numFmtId="168" fontId="6" fillId="6" borderId="0" pivotButton="0" quotePrefix="0" xfId="0"/>
    <xf numFmtId="165" fontId="6" fillId="6" borderId="0" pivotButton="0" quotePrefix="0" xfId="0"/>
    <xf numFmtId="171" fontId="6" fillId="0" borderId="0" pivotButton="0" quotePrefix="0" xfId="0"/>
    <xf numFmtId="3" fontId="6" fillId="6" borderId="0" pivotButton="0" quotePrefix="0" xfId="0"/>
    <xf numFmtId="173" fontId="6" fillId="6" borderId="0" pivotButton="0" quotePrefix="0" xfId="0"/>
    <xf numFmtId="164" fontId="17" fillId="0" borderId="0" pivotButton="0" quotePrefix="0" xfId="0"/>
    <xf numFmtId="171" fontId="9" fillId="0" borderId="0" pivotButton="0" quotePrefix="0" xfId="0"/>
    <xf numFmtId="170" fontId="16" fillId="0" borderId="0" pivotButton="0" quotePrefix="0" xfId="0"/>
    <xf numFmtId="167" fontId="8" fillId="0" borderId="0" pivotButton="0" quotePrefix="0" xfId="0"/>
    <xf numFmtId="2" fontId="16" fillId="6" borderId="0" pivotButton="0" quotePrefix="0" xfId="0"/>
    <xf numFmtId="167" fontId="13" fillId="0" borderId="0" pivotButton="0" quotePrefix="0" xfId="0"/>
    <xf numFmtId="167" fontId="8" fillId="6" borderId="0" pivotButton="0" quotePrefix="0" xfId="0"/>
    <xf numFmtId="2" fontId="12" fillId="0" borderId="0" pivotButton="0" quotePrefix="0" xfId="0"/>
    <xf numFmtId="0" fontId="26" fillId="2" borderId="0" pivotButton="0" quotePrefix="0" xfId="0"/>
    <xf numFmtId="49" fontId="9" fillId="0" borderId="0" pivotButton="0" quotePrefix="0" xfId="0"/>
    <xf numFmtId="49" fontId="26" fillId="0" borderId="0" pivotButton="0" quotePrefix="0" xfId="0"/>
    <xf numFmtId="0" fontId="30" fillId="0" borderId="0" pivotButton="0" quotePrefix="0" xfId="0"/>
    <xf numFmtId="0" fontId="5" fillId="6" borderId="0" pivotButton="0" quotePrefix="0" xfId="0"/>
    <xf numFmtId="170" fontId="16" fillId="6" borderId="0" pivotButton="0" quotePrefix="0" xfId="0"/>
    <xf numFmtId="167" fontId="16" fillId="6" borderId="0" pivotButton="0" quotePrefix="0" xfId="0"/>
    <xf numFmtId="172" fontId="16" fillId="6" borderId="0" pivotButton="0" quotePrefix="0" xfId="0"/>
    <xf numFmtId="164" fontId="16" fillId="6" borderId="0" pivotButton="0" quotePrefix="0" xfId="0"/>
    <xf numFmtId="172" fontId="5" fillId="0" borderId="0" pivotButton="0" quotePrefix="0" xfId="0"/>
    <xf numFmtId="164" fontId="5" fillId="0" borderId="0" pivotButton="0" quotePrefix="0" xfId="0"/>
    <xf numFmtId="165" fontId="6" fillId="5" borderId="0" pivotButton="0" quotePrefix="0" xfId="0"/>
    <xf numFmtId="164" fontId="6" fillId="5" borderId="0" pivotButton="0" quotePrefix="0" xfId="0"/>
    <xf numFmtId="167" fontId="6" fillId="5" borderId="0" pivotButton="0" quotePrefix="0" xfId="0"/>
    <xf numFmtId="0" fontId="35" fillId="0" borderId="0" pivotButton="0" quotePrefix="0" xfId="0"/>
    <xf numFmtId="0" fontId="36" fillId="0" borderId="0" pivotButton="0" quotePrefix="0" xfId="0"/>
    <xf numFmtId="164" fontId="28" fillId="6" borderId="0" pivotButton="0" quotePrefix="0" xfId="0"/>
    <xf numFmtId="0" fontId="37" fillId="0" borderId="0" pivotButton="0" quotePrefix="0" xfId="0"/>
    <xf numFmtId="0" fontId="31" fillId="2" borderId="0" pivotButton="0" quotePrefix="0" xfId="0"/>
    <xf numFmtId="174" fontId="12" fillId="0" borderId="0" pivotButton="0" quotePrefix="0" xfId="0"/>
    <xf numFmtId="175" fontId="12" fillId="0" borderId="0" pivotButton="0" quotePrefix="0" xfId="0"/>
    <xf numFmtId="176" fontId="9" fillId="0" borderId="0" pivotButton="0" quotePrefix="0" xfId="0"/>
    <xf numFmtId="0" fontId="38" fillId="6" borderId="0" pivotButton="0" quotePrefix="0" xfId="0"/>
    <xf numFmtId="177" fontId="39"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5"/>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4" customWidth="1" min="1" max="1"/>
    <col width="22" customWidth="1" min="2" max="2"/>
    <col width="22" customWidth="1" min="3" max="3"/>
    <col width="22" customWidth="1" min="4" max="4"/>
    <col width="22" customWidth="1" min="5" max="5"/>
  </cols>
  <sheetData>
    <row r="1">
      <c r="A1" s="1" t="inlineStr">
        <is>
          <t>Sumitomo Rubber Industries 51100 — Scenarios</t>
        </is>
      </c>
      <c r="B1" s="2" t="n"/>
      <c r="C1" s="2" t="n"/>
      <c r="D1" s="2" t="n"/>
      <c r="E1" s="2" t="n"/>
      <c r="F1" s="2" t="n"/>
      <c r="G1" s="2" t="n"/>
      <c r="H1" s="2" t="n"/>
      <c r="I1" s="2" t="n"/>
      <c r="J1" s="2" t="n"/>
      <c r="K1" s="2" t="n"/>
      <c r="L1" s="2" t="n"/>
      <c r="M1" s="2" t="n"/>
      <c r="N1" s="2" t="n"/>
      <c r="O1" s="2" t="n"/>
      <c r="P1" s="2" t="n"/>
      <c r="Q1" s="2" t="n"/>
    </row>
    <row r="2">
      <c r="A2" s="2" t="inlineStr">
        <is>
          <t>Pick a case in B4. Drivers growth + OPM rows follow the pick, so PL / BS / CF / Valuation all recompute. Columns B.. are each case's reference output; the last column is the live model for the picked case.</t>
        </is>
      </c>
      <c r="B2" s="2" t="n"/>
      <c r="C2" s="2" t="n"/>
      <c r="D2" s="2" t="n"/>
      <c r="E2" s="2" t="n"/>
      <c r="F2" s="2" t="n"/>
      <c r="G2" s="2" t="n"/>
      <c r="H2" s="2" t="n"/>
      <c r="I2" s="2" t="n"/>
      <c r="J2" s="2" t="n"/>
      <c r="K2" s="2" t="n"/>
      <c r="L2" s="2" t="n"/>
      <c r="M2" s="2" t="n"/>
      <c r="N2" s="2" t="n"/>
      <c r="O2" s="2" t="n"/>
      <c r="P2" s="2" t="n"/>
      <c r="Q2" s="2" t="n"/>
    </row>
    <row r="3">
      <c r="A3" s="2" t="n"/>
      <c r="B3" s="2" t="n"/>
      <c r="C3" s="2" t="n"/>
      <c r="D3" s="2" t="n"/>
      <c r="E3" s="2" t="n"/>
      <c r="F3" s="2" t="n"/>
      <c r="G3" s="2" t="n"/>
      <c r="H3" s="2" t="n"/>
      <c r="I3" s="2" t="n"/>
      <c r="J3" s="2" t="n"/>
      <c r="K3" s="2" t="n"/>
      <c r="L3" s="2" t="n"/>
      <c r="M3" s="2" t="n"/>
      <c r="N3" s="2" t="n"/>
      <c r="O3" s="2" t="n"/>
      <c r="P3" s="2" t="n"/>
      <c r="Q3" s="2" t="n"/>
    </row>
    <row r="4">
      <c r="A4" s="3" t="inlineStr">
        <is>
          <t>Case  (1=Bull / 2=Base / 3=Bear)</t>
        </is>
      </c>
      <c r="B4" s="4" t="n">
        <v>2</v>
      </c>
      <c r="C4" s="5">
        <f>CHOOSE($B$4,"Bull","Base","Bear")</f>
        <v/>
      </c>
      <c r="D4" s="2" t="n"/>
      <c r="E4" s="2" t="n"/>
      <c r="F4" s="2" t="n"/>
      <c r="G4" s="2" t="n"/>
      <c r="H4" s="2" t="n"/>
      <c r="I4" s="2" t="n"/>
      <c r="J4" s="2" t="n"/>
      <c r="K4" s="2" t="n"/>
      <c r="L4" s="2" t="n"/>
      <c r="M4" s="2" t="n"/>
      <c r="N4" s="2" t="n"/>
      <c r="O4" s="2" t="n"/>
      <c r="P4" s="2" t="n"/>
      <c r="Q4" s="2" t="n"/>
    </row>
    <row r="5">
      <c r="A5" s="2" t="n"/>
      <c r="B5" s="2" t="n"/>
      <c r="C5" s="2" t="n"/>
      <c r="D5" s="2" t="n"/>
      <c r="E5" s="2" t="n"/>
      <c r="F5" s="2" t="n"/>
      <c r="G5" s="2" t="n"/>
      <c r="H5" s="2" t="n"/>
      <c r="I5" s="2" t="n"/>
      <c r="J5" s="2" t="n"/>
      <c r="K5" s="2" t="n"/>
      <c r="L5" s="2" t="n"/>
      <c r="M5" s="2" t="n"/>
      <c r="N5" s="2" t="n"/>
      <c r="O5" s="2" t="n"/>
      <c r="P5" s="2" t="n"/>
      <c r="Q5" s="2" t="n"/>
    </row>
    <row r="6">
      <c r="A6" s="2" t="inlineStr"/>
      <c r="B6" s="6" t="inlineStr">
        <is>
          <t>Bull</t>
        </is>
      </c>
      <c r="C6" s="6" t="inlineStr">
        <is>
          <t>Base</t>
        </is>
      </c>
      <c r="D6" s="6" t="inlineStr">
        <is>
          <t>Bear</t>
        </is>
      </c>
      <c r="E6" s="6" t="inlineStr">
        <is>
          <t>Picked → live model</t>
        </is>
      </c>
      <c r="F6" s="2" t="n"/>
      <c r="G6" s="2" t="n"/>
      <c r="H6" s="2" t="n"/>
      <c r="I6" s="2" t="n"/>
      <c r="J6" s="2" t="n"/>
      <c r="K6" s="2" t="n"/>
      <c r="L6" s="2" t="n"/>
      <c r="M6" s="2" t="n"/>
      <c r="N6" s="2" t="n"/>
      <c r="O6" s="2" t="n"/>
      <c r="P6" s="2" t="n"/>
      <c r="Q6" s="2" t="n"/>
    </row>
    <row r="7" ht="48" customHeight="1">
      <c r="A7" s="2" t="inlineStr">
        <is>
          <t>View (one line; the numbers are in the assumption table below)</t>
        </is>
      </c>
      <c r="B7" s="7" t="inlineStr">
        <is>
          <t>DUNLOP succeeds, oil settles -&gt; business margin ~8% (still short of the 10% MTP)</t>
        </is>
      </c>
      <c r="C7" s="7" t="inlineStr">
        <is>
          <t>DUNLOP takes time, oil stays high, El Nino lifts rubber -&gt; status quo, TP ~ current price</t>
        </is>
      </c>
      <c r="D7" s="7" t="inlineStr">
        <is>
          <t>DUNLOP fails + sector shock (oil $100, stronger El Nino) -&gt; P/B 0.50 floor</t>
        </is>
      </c>
      <c r="E7" s="8">
        <f>CHOOSE($B$4,B7,C7,D7)</f>
        <v/>
      </c>
      <c r="F7" s="2" t="n"/>
      <c r="G7" s="2" t="n"/>
      <c r="H7" s="2" t="n"/>
      <c r="I7" s="2" t="n"/>
      <c r="J7" s="2" t="n"/>
      <c r="K7" s="2" t="n"/>
      <c r="L7" s="2" t="n"/>
      <c r="M7" s="2" t="n"/>
      <c r="N7" s="2" t="n"/>
      <c r="O7" s="2" t="n"/>
      <c r="P7" s="2" t="n"/>
      <c r="Q7" s="2" t="n"/>
    </row>
    <row r="8">
      <c r="A8" s="2" t="inlineStr">
        <is>
          <t>FY26 OP (億) — live only</t>
        </is>
      </c>
      <c r="B8" s="2" t="n"/>
      <c r="C8" s="2" t="n"/>
      <c r="D8" s="2" t="n"/>
      <c r="E8" s="9">
        <f>FS!V9</f>
        <v/>
      </c>
      <c r="F8" s="2" t="n"/>
      <c r="G8" s="2" t="n"/>
      <c r="H8" s="2" t="n"/>
      <c r="I8" s="2" t="n"/>
      <c r="J8" s="2" t="n"/>
      <c r="K8" s="2" t="n"/>
      <c r="L8" s="2" t="n"/>
      <c r="M8" s="2" t="n"/>
      <c r="N8" s="2" t="n"/>
      <c r="O8" s="2" t="n"/>
      <c r="P8" s="2" t="n"/>
      <c r="Q8" s="2" t="n"/>
    </row>
    <row r="9">
      <c r="A9" s="2" t="inlineStr">
        <is>
          <t>FY27 Sales (億) — live only</t>
        </is>
      </c>
      <c r="B9" s="2" t="n"/>
      <c r="C9" s="2" t="n"/>
      <c r="D9" s="2" t="n"/>
      <c r="E9" s="9">
        <f>FS!W4</f>
        <v/>
      </c>
      <c r="F9" s="2" t="n"/>
      <c r="G9" s="2" t="n"/>
      <c r="H9" s="2" t="n"/>
      <c r="I9" s="2" t="n"/>
      <c r="J9" s="2" t="n"/>
      <c r="K9" s="2" t="n"/>
      <c r="L9" s="2" t="n"/>
      <c r="M9" s="2" t="n"/>
      <c r="N9" s="2" t="n"/>
      <c r="O9" s="2" t="n"/>
      <c r="P9" s="2" t="n"/>
      <c r="Q9" s="2" t="n"/>
    </row>
    <row r="10">
      <c r="A10" s="3" t="inlineStr">
        <is>
          <t>FY27 OP (億)</t>
        </is>
      </c>
      <c r="B10" s="10" t="n">
        <v>1022</v>
      </c>
      <c r="C10" s="10" t="n">
        <v>739</v>
      </c>
      <c r="D10" s="10" t="n">
        <v>510</v>
      </c>
      <c r="E10" s="11">
        <f>FS!W9</f>
        <v/>
      </c>
      <c r="F10" s="2" t="n"/>
      <c r="G10" s="2" t="n"/>
      <c r="H10" s="2" t="n"/>
      <c r="I10" s="2" t="n"/>
      <c r="J10" s="2" t="n"/>
      <c r="K10" s="2" t="n"/>
      <c r="L10" s="2" t="n"/>
      <c r="M10" s="2" t="n"/>
      <c r="N10" s="2" t="n"/>
      <c r="O10" s="2" t="n"/>
      <c r="P10" s="2" t="n"/>
      <c r="Q10" s="2" t="n"/>
    </row>
    <row r="11">
      <c r="A11" s="2" t="inlineStr">
        <is>
          <t>FY27 OPM (%)</t>
        </is>
      </c>
      <c r="B11" s="2" t="n"/>
      <c r="C11" s="2" t="n"/>
      <c r="D11" s="2" t="n"/>
      <c r="E11" s="12">
        <f>E10/E9*100</f>
        <v/>
      </c>
      <c r="F11" s="2" t="n"/>
      <c r="G11" s="2" t="n"/>
      <c r="H11" s="2" t="n"/>
      <c r="I11" s="2" t="n"/>
      <c r="J11" s="2" t="n"/>
      <c r="K11" s="2" t="n"/>
      <c r="L11" s="2" t="n"/>
      <c r="M11" s="2" t="n"/>
      <c r="N11" s="2" t="n"/>
      <c r="O11" s="2" t="n"/>
      <c r="P11" s="2" t="n"/>
      <c r="Q11" s="2" t="n"/>
    </row>
    <row r="12">
      <c r="A12" s="2" t="inlineStr">
        <is>
          <t>FY27 EPS (¥)</t>
        </is>
      </c>
      <c r="B12" s="13" t="n">
        <v>240.3</v>
      </c>
      <c r="C12" s="13" t="n">
        <v>173.7</v>
      </c>
      <c r="D12" s="13" t="n">
        <v>119.8</v>
      </c>
      <c r="E12" s="14">
        <f>FS!W22</f>
        <v/>
      </c>
      <c r="F12" s="2" t="n"/>
      <c r="G12" s="2" t="n"/>
      <c r="H12" s="2" t="n"/>
      <c r="I12" s="2" t="n"/>
      <c r="J12" s="2" t="n"/>
      <c r="K12" s="2" t="n"/>
      <c r="L12" s="2" t="n"/>
      <c r="M12" s="2" t="n"/>
      <c r="N12" s="2" t="n"/>
      <c r="O12" s="2" t="n"/>
      <c r="P12" s="2" t="n"/>
      <c r="Q12" s="2" t="n"/>
    </row>
    <row r="13">
      <c r="A13" s="2" t="inlineStr">
        <is>
          <t>FY27 BPS (¥)</t>
        </is>
      </c>
      <c r="B13" s="15" t="n">
        <v>3041</v>
      </c>
      <c r="C13" s="15" t="n">
        <v>3001</v>
      </c>
      <c r="D13" s="15" t="n">
        <v>2968</v>
      </c>
      <c r="E13" s="16">
        <f>FS!O45*100/FS!O21</f>
        <v/>
      </c>
      <c r="F13" s="2" t="n"/>
      <c r="G13" s="2" t="n"/>
      <c r="H13" s="2" t="n"/>
      <c r="I13" s="2" t="n"/>
      <c r="J13" s="2" t="n"/>
      <c r="K13" s="2" t="n"/>
      <c r="L13" s="2" t="n"/>
      <c r="M13" s="2" t="n"/>
      <c r="N13" s="2" t="n"/>
      <c r="O13" s="2" t="n"/>
      <c r="P13" s="2" t="n"/>
      <c r="Q13" s="2" t="n"/>
    </row>
    <row r="14">
      <c r="A14" s="2" t="inlineStr">
        <is>
          <t>P/E applied (x)</t>
        </is>
      </c>
      <c r="B14" s="17" t="n">
        <v>9.69</v>
      </c>
      <c r="C14" s="17" t="n">
        <v>9.69</v>
      </c>
      <c r="D14" s="2" t="n"/>
      <c r="E14" s="18">
        <f>N(CHOOSE($B$4,B14,C14,D14))</f>
        <v/>
      </c>
      <c r="F14" s="2" t="n"/>
      <c r="G14" s="2" t="n"/>
      <c r="H14" s="2" t="n"/>
      <c r="I14" s="2" t="n"/>
      <c r="J14" s="2" t="n"/>
      <c r="K14" s="2" t="n"/>
      <c r="L14" s="2" t="n"/>
      <c r="M14" s="2" t="n"/>
      <c r="N14" s="2" t="n"/>
      <c r="O14" s="2" t="n"/>
      <c r="P14" s="2" t="n"/>
      <c r="Q14" s="2" t="n"/>
    </row>
    <row r="15">
      <c r="A15" s="2" t="inlineStr">
        <is>
          <t>P/B applied (x)</t>
        </is>
      </c>
      <c r="B15" s="19" t="n">
        <v>0.926</v>
      </c>
      <c r="C15" s="19" t="n">
        <v>0.774</v>
      </c>
      <c r="D15" s="19" t="n">
        <v>0.5</v>
      </c>
      <c r="E15" s="20">
        <f>N(CHOOSE($B$4,B15,C15,D15))</f>
        <v/>
      </c>
      <c r="F15" s="2" t="n"/>
      <c r="G15" s="2" t="n"/>
      <c r="H15" s="2" t="n"/>
      <c r="I15" s="2" t="n"/>
      <c r="J15" s="2" t="n"/>
      <c r="K15" s="2" t="n"/>
      <c r="L15" s="2" t="n"/>
      <c r="M15" s="2" t="n"/>
      <c r="N15" s="2" t="n"/>
      <c r="O15" s="2" t="n"/>
      <c r="P15" s="2" t="n"/>
      <c r="Q15" s="2" t="n"/>
    </row>
    <row r="16">
      <c r="A16" s="2" t="inlineStr">
        <is>
          <t>Weight on P/E (0 = P/B only)</t>
        </is>
      </c>
      <c r="B16" s="21" t="n">
        <v>0.5</v>
      </c>
      <c r="C16" s="21" t="n">
        <v>0.5</v>
      </c>
      <c r="D16" s="21" t="n">
        <v>0</v>
      </c>
      <c r="E16" s="22">
        <f>N(CHOOSE($B$4,B16,C16,D16))</f>
        <v/>
      </c>
      <c r="F16" s="2" t="n"/>
      <c r="G16" s="2" t="n"/>
      <c r="H16" s="2" t="n"/>
      <c r="I16" s="2" t="n"/>
      <c r="J16" s="2" t="n"/>
      <c r="K16" s="2" t="n"/>
      <c r="L16" s="2" t="n"/>
      <c r="M16" s="2" t="n"/>
      <c r="N16" s="2" t="n"/>
      <c r="O16" s="2" t="n"/>
      <c r="P16" s="2" t="n"/>
      <c r="Q16" s="2" t="n"/>
    </row>
    <row r="17">
      <c r="A17" s="3" t="inlineStr">
        <is>
          <t>Target price (¥)</t>
        </is>
      </c>
      <c r="B17" s="15" t="n">
        <v>2573</v>
      </c>
      <c r="C17" s="15" t="n">
        <v>2003</v>
      </c>
      <c r="D17" s="15" t="n">
        <v>1484</v>
      </c>
      <c r="E17" s="23">
        <f>IF(E16&gt;0,E16*E12*E14+(1-E16)*E13*E15,E13*E15)</f>
        <v/>
      </c>
      <c r="F17" s="2" t="n"/>
      <c r="G17" s="2" t="n"/>
      <c r="H17" s="2" t="n"/>
      <c r="I17" s="2" t="n"/>
      <c r="J17" s="2" t="n"/>
      <c r="K17" s="2" t="n"/>
      <c r="L17" s="2" t="n"/>
      <c r="M17" s="2" t="n"/>
      <c r="N17" s="2" t="n"/>
      <c r="O17" s="2" t="n"/>
      <c r="P17" s="2" t="n"/>
      <c r="Q17" s="2" t="n"/>
    </row>
    <row r="18">
      <c r="A18" s="2" t="inlineStr">
        <is>
          <t>vs price</t>
        </is>
      </c>
      <c r="B18" s="24">
        <f>IF(B19&gt;0,B17/B19-1,"")</f>
        <v/>
      </c>
      <c r="C18" s="24">
        <f>IF(C19&gt;0,C17/C19-1,"")</f>
        <v/>
      </c>
      <c r="D18" s="24">
        <f>IF(D19&gt;0,D17/D19-1,"")</f>
        <v/>
      </c>
      <c r="E18" s="25">
        <f>IF(E19&gt;0,E17/E19-1,"")</f>
        <v/>
      </c>
      <c r="F18" s="2" t="n"/>
      <c r="G18" s="2" t="n"/>
      <c r="H18" s="2" t="n"/>
      <c r="I18" s="2" t="n"/>
      <c r="J18" s="2" t="n"/>
      <c r="K18" s="2" t="n"/>
      <c r="L18" s="2" t="n"/>
      <c r="M18" s="2" t="n"/>
      <c r="N18" s="2" t="n"/>
      <c r="O18" s="2" t="n"/>
      <c r="P18" s="2" t="n"/>
      <c r="Q18" s="2" t="n"/>
    </row>
    <row r="19">
      <c r="A19" s="2" t="inlineStr">
        <is>
          <t>Price ref (¥)</t>
        </is>
      </c>
      <c r="B19" s="15" t="n">
        <v>2036</v>
      </c>
      <c r="C19" s="15" t="n">
        <v>2036</v>
      </c>
      <c r="D19" s="15" t="n">
        <v>2036</v>
      </c>
      <c r="E19" s="26">
        <f>N(CHOOSE($B$4,B19,C19,D19))</f>
        <v/>
      </c>
      <c r="F19" s="2" t="n"/>
      <c r="G19" s="2" t="n"/>
      <c r="H19" s="2" t="n"/>
      <c r="I19" s="2" t="n"/>
      <c r="J19" s="2" t="n"/>
      <c r="K19" s="2" t="n"/>
      <c r="L19" s="2" t="n"/>
      <c r="M19" s="2" t="n"/>
      <c r="N19" s="2" t="n"/>
      <c r="O19" s="2" t="n"/>
      <c r="P19" s="2" t="n"/>
      <c r="Q19" s="2" t="n"/>
    </row>
    <row r="20">
      <c r="A20" s="2" t="n"/>
      <c r="B20" s="2" t="n"/>
      <c r="C20" s="2" t="n"/>
      <c r="D20" s="2" t="n"/>
      <c r="E20" s="2" t="n"/>
      <c r="F20" s="2" t="n"/>
      <c r="G20" s="2" t="n"/>
      <c r="H20" s="2" t="n"/>
      <c r="I20" s="2" t="n"/>
      <c r="J20" s="2" t="n"/>
      <c r="K20" s="2" t="n"/>
      <c r="L20" s="2" t="n"/>
      <c r="M20" s="2" t="n"/>
      <c r="N20" s="2" t="n"/>
      <c r="O20" s="2" t="n"/>
      <c r="P20" s="2" t="n"/>
      <c r="Q20" s="2" t="n"/>
    </row>
    <row r="21">
      <c r="A21" s="2" t="n"/>
      <c r="B21" s="2" t="n"/>
      <c r="C21" s="2" t="n"/>
      <c r="D21" s="2" t="n"/>
      <c r="E21" s="2" t="n"/>
      <c r="F21" s="2" t="n"/>
      <c r="G21" s="2" t="n"/>
      <c r="H21" s="2" t="n"/>
      <c r="I21" s="2" t="n"/>
      <c r="J21" s="2" t="n"/>
      <c r="K21" s="2" t="n"/>
      <c r="L21" s="2" t="n"/>
      <c r="M21" s="2" t="n"/>
      <c r="N21" s="2" t="n"/>
      <c r="O21" s="2" t="n"/>
      <c r="P21" s="2" t="n"/>
      <c r="Q21" s="2" t="n"/>
    </row>
    <row r="22">
      <c r="A22" s="3" t="inlineStr">
        <is>
          <t>Key assumptions per case (driver inputs)</t>
        </is>
      </c>
      <c r="B22" s="2" t="n"/>
      <c r="C22" s="2" t="n"/>
      <c r="D22" s="2" t="n"/>
      <c r="E22" s="2" t="n"/>
      <c r="F22" s="2" t="n"/>
      <c r="G22" s="2" t="n"/>
      <c r="H22" s="2" t="n"/>
      <c r="I22" s="2" t="n"/>
      <c r="J22" s="2" t="n"/>
      <c r="K22" s="2" t="n"/>
      <c r="L22" s="2" t="n"/>
      <c r="M22" s="2" t="n"/>
      <c r="N22" s="2" t="n"/>
      <c r="O22" s="2" t="n"/>
      <c r="P22" s="2" t="n"/>
      <c r="Q22" s="2" t="n"/>
    </row>
    <row r="23">
      <c r="A23" s="2" t="n"/>
      <c r="B23" s="6" t="inlineStr">
        <is>
          <t>Bull</t>
        </is>
      </c>
      <c r="C23" s="6" t="inlineStr">
        <is>
          <t>Base</t>
        </is>
      </c>
      <c r="D23" s="6" t="inlineStr">
        <is>
          <t>Bear</t>
        </is>
      </c>
      <c r="E23" s="6" t="inlineStr">
        <is>
          <t>Picked</t>
        </is>
      </c>
      <c r="F23" s="2" t="n"/>
      <c r="G23" s="2" t="n"/>
      <c r="H23" s="2" t="n"/>
      <c r="I23" s="2" t="n"/>
      <c r="J23" s="2" t="n"/>
      <c r="K23" s="2" t="n"/>
      <c r="L23" s="2" t="n"/>
      <c r="M23" s="2" t="n"/>
      <c r="N23" s="2" t="n"/>
      <c r="O23" s="2" t="n"/>
      <c r="P23" s="2" t="n"/>
      <c r="Q23" s="2" t="n"/>
    </row>
    <row r="24">
      <c r="A24" s="2" t="inlineStr">
        <is>
          <t>TSR20 in 12M ($/kg, SGX curve x El Nino uplift)</t>
        </is>
      </c>
      <c r="B24" s="21" t="n">
        <v>2.61</v>
      </c>
      <c r="C24" s="21" t="n">
        <v>2.79</v>
      </c>
      <c r="D24" s="21" t="n">
        <v>2.97</v>
      </c>
      <c r="E24" s="27">
        <f>CHOOSE($B$4,B24,C24,D24)</f>
        <v/>
      </c>
      <c r="F24" s="2" t="n"/>
      <c r="G24" s="2" t="n"/>
      <c r="H24" s="2" t="n"/>
      <c r="I24" s="2" t="n"/>
      <c r="J24" s="2" t="n"/>
      <c r="K24" s="2" t="n"/>
      <c r="L24" s="2" t="n"/>
      <c r="M24" s="2" t="n"/>
      <c r="N24" s="2" t="n"/>
      <c r="O24" s="2" t="n"/>
      <c r="P24" s="2" t="n"/>
      <c r="Q24" s="2" t="n"/>
    </row>
    <row r="25">
      <c r="A25" s="2" t="inlineStr">
        <is>
          <t xml:space="preserve">  El Nino uplift multiple (measured = 1.0)</t>
        </is>
      </c>
      <c r="B25" s="21" t="n">
        <v>0.5</v>
      </c>
      <c r="C25" s="21" t="n">
        <v>1</v>
      </c>
      <c r="D25" s="21" t="n">
        <v>1.5</v>
      </c>
      <c r="E25" s="27">
        <f>CHOOSE($B$4,B25,C25,D25)</f>
        <v/>
      </c>
      <c r="F25" s="2" t="n"/>
      <c r="G25" s="2" t="n"/>
      <c r="H25" s="2" t="n"/>
      <c r="I25" s="2" t="n"/>
      <c r="J25" s="2" t="n"/>
      <c r="K25" s="2" t="n"/>
      <c r="L25" s="2" t="n"/>
      <c r="M25" s="2" t="n"/>
      <c r="N25" s="2" t="n"/>
      <c r="O25" s="2" t="n"/>
      <c r="P25" s="2" t="n"/>
      <c r="Q25" s="2" t="n"/>
    </row>
    <row r="26">
      <c r="A26" s="2" t="inlineStr">
        <is>
          <t>Dubai ($/bbl, from Oct-2026)</t>
        </is>
      </c>
      <c r="B26" s="28" t="n">
        <v>80</v>
      </c>
      <c r="C26" s="28" t="n">
        <v>90</v>
      </c>
      <c r="D26" s="28" t="n">
        <v>100</v>
      </c>
      <c r="E26" s="29">
        <f>CHOOSE($B$4,B26,C26,D26)</f>
        <v/>
      </c>
      <c r="F26" s="2" t="n"/>
      <c r="G26" s="2" t="n"/>
      <c r="H26" s="2" t="n"/>
      <c r="I26" s="2" t="n"/>
      <c r="J26" s="2" t="n"/>
      <c r="K26" s="2" t="n"/>
      <c r="L26" s="2" t="n"/>
      <c r="M26" s="2" t="n"/>
      <c r="N26" s="2" t="n"/>
      <c r="O26" s="2" t="n"/>
      <c r="P26" s="2" t="n"/>
      <c r="Q26" s="2" t="n"/>
    </row>
    <row r="27">
      <c r="A27" s="2" t="inlineStr">
        <is>
          <t>Price pass-through beta (history 0.90)</t>
        </is>
      </c>
      <c r="B27" s="21" t="n">
        <v>0.9</v>
      </c>
      <c r="C27" s="21" t="n">
        <v>0.7</v>
      </c>
      <c r="D27" s="21" t="n">
        <v>0.6</v>
      </c>
      <c r="E27" s="27">
        <f>CHOOSE($B$4,B27,C27,D27)</f>
        <v/>
      </c>
      <c r="F27" s="2" t="n"/>
      <c r="G27" s="2" t="n"/>
      <c r="H27" s="2" t="n"/>
      <c r="I27" s="2" t="n"/>
      <c r="J27" s="2" t="n"/>
      <c r="K27" s="2" t="n"/>
      <c r="L27" s="2" t="n"/>
      <c r="M27" s="2" t="n"/>
      <c r="N27" s="2" t="n"/>
      <c r="O27" s="2" t="n"/>
      <c r="P27" s="2" t="n"/>
      <c r="Q27" s="2" t="n"/>
    </row>
    <row r="28">
      <c r="A28" s="2" t="inlineStr">
        <is>
          <t>Own-brand units YoY FY27 (%)</t>
        </is>
      </c>
      <c r="B28" s="30" t="n">
        <v>2.5</v>
      </c>
      <c r="C28" s="30" t="n">
        <v>1.5</v>
      </c>
      <c r="D28" s="30" t="n">
        <v>1</v>
      </c>
      <c r="E28" s="31">
        <f>CHOOSE($B$4,B28,C28,D28)</f>
        <v/>
      </c>
      <c r="F28" s="2" t="n"/>
      <c r="G28" s="2" t="n"/>
      <c r="H28" s="2" t="n"/>
      <c r="I28" s="2" t="n"/>
      <c r="J28" s="2" t="n"/>
      <c r="K28" s="2" t="n"/>
      <c r="L28" s="2" t="n"/>
      <c r="M28" s="2" t="n"/>
      <c r="N28" s="2" t="n"/>
      <c r="O28" s="2" t="n"/>
      <c r="P28" s="2" t="n"/>
      <c r="Q28" s="2" t="n"/>
    </row>
    <row r="29">
      <c r="A29" s="2" t="inlineStr">
        <is>
          <t>Offtake FY26H2 vs plan (%)</t>
        </is>
      </c>
      <c r="B29" s="28" t="n">
        <v>100</v>
      </c>
      <c r="C29" s="28" t="n">
        <v>77</v>
      </c>
      <c r="D29" s="28" t="n">
        <v>70</v>
      </c>
      <c r="E29" s="29">
        <f>CHOOSE($B$4,B29,C29,D29)</f>
        <v/>
      </c>
      <c r="F29" s="2" t="n"/>
      <c r="G29" s="2" t="n"/>
      <c r="H29" s="2" t="n"/>
      <c r="I29" s="2" t="n"/>
      <c r="J29" s="2" t="n"/>
      <c r="K29" s="2" t="n"/>
      <c r="L29" s="2" t="n"/>
      <c r="M29" s="2" t="n"/>
      <c r="N29" s="2" t="n"/>
      <c r="O29" s="2" t="n"/>
      <c r="P29" s="2" t="n"/>
      <c r="Q29" s="2" t="n"/>
    </row>
    <row r="30">
      <c r="A30" s="2" t="inlineStr">
        <is>
          <t>Offtake FY27 (10k units)</t>
        </is>
      </c>
      <c r="B30" s="28" t="n">
        <v>260</v>
      </c>
      <c r="C30" s="28" t="n">
        <v>240</v>
      </c>
      <c r="D30" s="28" t="n">
        <v>220</v>
      </c>
      <c r="E30" s="29">
        <f>CHOOSE($B$4,B30,C30,D30)</f>
        <v/>
      </c>
      <c r="F30" s="2" t="n"/>
      <c r="G30" s="2" t="n"/>
      <c r="H30" s="2" t="n"/>
      <c r="I30" s="2" t="n"/>
      <c r="J30" s="2" t="n"/>
      <c r="K30" s="2" t="n"/>
      <c r="L30" s="2" t="n"/>
      <c r="M30" s="2" t="n"/>
      <c r="N30" s="2" t="n"/>
      <c r="O30" s="2" t="n"/>
      <c r="P30" s="2" t="n"/>
      <c r="Q30" s="2" t="n"/>
    </row>
    <row r="31">
      <c r="A31" s="2" t="inlineStr">
        <is>
          <t>SYNCHRO WEATHER FY27 (10k units) - placeholder</t>
        </is>
      </c>
      <c r="B31" s="28" t="n">
        <v>150</v>
      </c>
      <c r="C31" s="28" t="n">
        <v>130</v>
      </c>
      <c r="D31" s="28" t="n">
        <v>115</v>
      </c>
      <c r="E31" s="29">
        <f>CHOOSE($B$4,B31,C31,D31)</f>
        <v/>
      </c>
      <c r="F31" s="2" t="n"/>
      <c r="G31" s="2" t="n"/>
      <c r="H31" s="2" t="n"/>
      <c r="I31" s="2" t="n"/>
      <c r="J31" s="2" t="n"/>
      <c r="K31" s="2" t="n"/>
      <c r="L31" s="2" t="n"/>
      <c r="M31" s="2" t="n"/>
      <c r="N31" s="2" t="n"/>
      <c r="O31" s="2" t="n"/>
      <c r="P31" s="2" t="n"/>
      <c r="Q31" s="2" t="n"/>
    </row>
    <row r="32">
      <c r="A32" s="2" t="inlineStr">
        <is>
          <t>Mix improvement (JPY 100m / Q)</t>
        </is>
      </c>
      <c r="B32" s="28" t="n">
        <v>30</v>
      </c>
      <c r="C32" s="28" t="n">
        <v>20</v>
      </c>
      <c r="D32" s="28" t="n">
        <v>10</v>
      </c>
      <c r="E32" s="29">
        <f>CHOOSE($B$4,B32,C32,D32)</f>
        <v/>
      </c>
      <c r="F32" s="2" t="n"/>
      <c r="G32" s="2" t="n"/>
      <c r="H32" s="2" t="n"/>
      <c r="I32" s="2" t="n"/>
      <c r="J32" s="2" t="n"/>
      <c r="K32" s="2" t="n"/>
      <c r="L32" s="2" t="n"/>
      <c r="M32" s="2" t="n"/>
      <c r="N32" s="2" t="n"/>
      <c r="O32" s="2" t="n"/>
      <c r="P32" s="2" t="n"/>
      <c r="Q32" s="2" t="n"/>
    </row>
    <row r="33">
      <c r="A33" s="2" t="inlineStr">
        <is>
          <t>Excess inventory days at FY27 end (vs FY25 same Q)</t>
        </is>
      </c>
      <c r="B33" s="28" t="n">
        <v>3</v>
      </c>
      <c r="C33" s="28" t="n">
        <v>8</v>
      </c>
      <c r="D33" s="28" t="n">
        <v>20</v>
      </c>
      <c r="E33" s="29">
        <f>CHOOSE($B$4,B33,C33,D33)</f>
        <v/>
      </c>
      <c r="F33" s="2" t="n"/>
      <c r="G33" s="2" t="n"/>
      <c r="H33" s="2" t="n"/>
      <c r="I33" s="2" t="n"/>
      <c r="J33" s="2" t="n"/>
      <c r="K33" s="2" t="n"/>
      <c r="L33" s="2" t="n"/>
      <c r="M33" s="2" t="n"/>
      <c r="N33" s="2" t="n"/>
      <c r="O33" s="2" t="n"/>
      <c r="P33" s="2" t="n"/>
      <c r="Q33" s="2" t="n"/>
    </row>
    <row r="34">
      <c r="A34" s="32" t="inlineStr">
        <is>
          <t>Common to all cases (FY27, JPY 100m): unrealized profit -58 / IEEPA refund drops out -40 / freight -20 / Project ARK +100 / expenses -130. The assumption table is for reference only - editing it does not recalc (rerun driver.py).</t>
        </is>
      </c>
      <c r="B34" s="2" t="n"/>
      <c r="C34" s="2" t="n"/>
      <c r="D34" s="2" t="n"/>
      <c r="E34" s="2" t="n"/>
      <c r="F34" s="2" t="n"/>
      <c r="G34" s="2" t="n"/>
      <c r="H34" s="2" t="n"/>
      <c r="I34" s="2" t="n"/>
      <c r="J34" s="2" t="n"/>
      <c r="K34" s="2" t="n"/>
      <c r="L34" s="2" t="n"/>
      <c r="M34" s="2" t="n"/>
      <c r="N34" s="2" t="n"/>
      <c r="O34" s="2" t="n"/>
      <c r="P34" s="2" t="n"/>
      <c r="Q34" s="2" t="n"/>
    </row>
    <row r="35">
      <c r="A35" s="2" t="n"/>
      <c r="B35" s="2" t="n"/>
      <c r="C35" s="2" t="n"/>
      <c r="D35" s="2" t="n"/>
      <c r="E35" s="2" t="n"/>
      <c r="F35" s="2" t="n"/>
      <c r="G35" s="2" t="n"/>
      <c r="H35" s="2" t="n"/>
      <c r="I35" s="2" t="n"/>
      <c r="J35" s="2" t="n"/>
      <c r="K35" s="2" t="n"/>
      <c r="L35" s="2" t="n"/>
      <c r="M35" s="2" t="n"/>
      <c r="N35" s="2" t="n"/>
      <c r="O35" s="2" t="n"/>
      <c r="P35" s="2" t="n"/>
      <c r="Q35" s="2" t="n"/>
    </row>
    <row r="36">
      <c r="A36" s="2" t="n"/>
      <c r="B36" s="2" t="n"/>
      <c r="C36" s="2" t="n"/>
      <c r="D36" s="2" t="n"/>
      <c r="E36" s="2" t="n"/>
      <c r="F36" s="2" t="n"/>
      <c r="G36" s="2" t="n"/>
      <c r="H36" s="2" t="n"/>
      <c r="I36" s="2" t="n"/>
      <c r="J36" s="2" t="n"/>
      <c r="K36" s="2" t="n"/>
      <c r="L36" s="2" t="n"/>
      <c r="M36" s="2" t="n"/>
      <c r="N36" s="2" t="n"/>
      <c r="O36" s="2" t="n"/>
      <c r="P36" s="2" t="n"/>
      <c r="Q36" s="2" t="n"/>
    </row>
    <row r="37">
      <c r="A37" s="3" t="inlineStr">
        <is>
          <t>Quarterly drivers per case — edit the case rows; the Selected rows feed Drivers</t>
        </is>
      </c>
      <c r="B37" s="2" t="n"/>
      <c r="C37" s="2" t="n"/>
      <c r="D37" s="2" t="n"/>
      <c r="E37" s="2" t="n"/>
      <c r="F37" s="2" t="n"/>
      <c r="G37" s="2" t="n"/>
      <c r="H37" s="2" t="n"/>
      <c r="I37" s="2" t="n"/>
      <c r="J37" s="2" t="n"/>
      <c r="K37" s="2" t="n"/>
      <c r="L37" s="2" t="n"/>
      <c r="M37" s="2" t="n"/>
      <c r="N37" s="2" t="n"/>
      <c r="O37" s="2" t="n"/>
      <c r="P37" s="2" t="n"/>
      <c r="Q37" s="2" t="n"/>
    </row>
    <row r="38">
      <c r="A38" s="2" t="n"/>
      <c r="B38" s="2" t="n"/>
      <c r="C38" s="2" t="n"/>
      <c r="D38" s="2" t="n"/>
      <c r="E38" s="2" t="n"/>
      <c r="F38" s="2" t="n"/>
      <c r="G38" s="2" t="n"/>
      <c r="H38" s="2" t="n"/>
      <c r="I38" s="2" t="n"/>
      <c r="J38" s="6" t="inlineStr">
        <is>
          <t>FY26Q3</t>
        </is>
      </c>
      <c r="K38" s="6" t="inlineStr">
        <is>
          <t>FY26Q4</t>
        </is>
      </c>
      <c r="L38" s="6" t="inlineStr">
        <is>
          <t>FY27Q1</t>
        </is>
      </c>
      <c r="M38" s="6" t="inlineStr">
        <is>
          <t>FY27Q2</t>
        </is>
      </c>
      <c r="N38" s="6" t="inlineStr">
        <is>
          <t>FY27Q3</t>
        </is>
      </c>
      <c r="O38" s="6" t="inlineStr">
        <is>
          <t>FY27Q4</t>
        </is>
      </c>
      <c r="P38" s="6" t="inlineStr">
        <is>
          <t>FY28Q1</t>
        </is>
      </c>
      <c r="Q38" s="6" t="inlineStr">
        <is>
          <t>FY28Q2</t>
        </is>
      </c>
    </row>
    <row r="39">
      <c r="A39" s="3" t="inlineStr">
        <is>
          <t>Sales QoQ (%)</t>
        </is>
      </c>
      <c r="B39" s="2" t="n"/>
      <c r="C39" s="2" t="n"/>
      <c r="D39" s="2" t="n"/>
      <c r="E39" s="2" t="n"/>
      <c r="F39" s="2" t="n"/>
      <c r="G39" s="2" t="n"/>
      <c r="H39" s="2" t="n"/>
      <c r="I39" s="2" t="n"/>
      <c r="J39" s="2" t="n"/>
      <c r="K39" s="2" t="n"/>
      <c r="L39" s="2" t="n"/>
      <c r="M39" s="2" t="n"/>
      <c r="N39" s="2" t="n"/>
      <c r="O39" s="2" t="n"/>
      <c r="P39" s="2" t="n"/>
      <c r="Q39" s="2" t="n"/>
    </row>
    <row r="40">
      <c r="A40" s="2" t="inlineStr">
        <is>
          <t xml:space="preserve">  1. Bull</t>
        </is>
      </c>
      <c r="B40" s="2" t="n"/>
      <c r="C40" s="2" t="n"/>
      <c r="D40" s="2" t="n"/>
      <c r="E40" s="2" t="n"/>
      <c r="F40" s="2" t="n"/>
      <c r="G40" s="2" t="n"/>
      <c r="H40" s="2" t="n"/>
      <c r="I40" s="2" t="n"/>
      <c r="J40" s="33" t="n">
        <v>2.86</v>
      </c>
      <c r="K40" s="33" t="n">
        <v>17.39</v>
      </c>
      <c r="L40" s="33" t="n">
        <v>-18.32</v>
      </c>
      <c r="M40" s="33" t="n">
        <v>6.63</v>
      </c>
      <c r="N40" s="33" t="n">
        <v>3.45</v>
      </c>
      <c r="O40" s="33" t="n">
        <v>16.35</v>
      </c>
      <c r="P40" s="33" t="n">
        <v>-19.46</v>
      </c>
      <c r="Q40" s="33" t="n">
        <v>5.76</v>
      </c>
    </row>
    <row r="41">
      <c r="A41" s="2" t="inlineStr">
        <is>
          <t xml:space="preserve">  2. Base</t>
        </is>
      </c>
      <c r="B41" s="2" t="n"/>
      <c r="C41" s="2" t="n"/>
      <c r="D41" s="2" t="n"/>
      <c r="E41" s="2" t="n"/>
      <c r="F41" s="2" t="n"/>
      <c r="G41" s="2" t="n"/>
      <c r="H41" s="2" t="n"/>
      <c r="I41" s="2" t="n"/>
      <c r="J41" s="33" t="n">
        <v>2.25</v>
      </c>
      <c r="K41" s="33" t="n">
        <v>17.49</v>
      </c>
      <c r="L41" s="33" t="n">
        <v>-19.04</v>
      </c>
      <c r="M41" s="33" t="n">
        <v>6.33</v>
      </c>
      <c r="N41" s="33" t="n">
        <v>3.42</v>
      </c>
      <c r="O41" s="33" t="n">
        <v>16.87</v>
      </c>
      <c r="P41" s="33" t="n">
        <v>-19.63</v>
      </c>
      <c r="Q41" s="33" t="n">
        <v>5.86</v>
      </c>
    </row>
    <row r="42">
      <c r="A42" s="2" t="inlineStr">
        <is>
          <t xml:space="preserve">  3. Bear</t>
        </is>
      </c>
      <c r="B42" s="2" t="n"/>
      <c r="C42" s="2" t="n"/>
      <c r="D42" s="2" t="n"/>
      <c r="E42" s="2" t="n"/>
      <c r="F42" s="2" t="n"/>
      <c r="G42" s="2" t="n"/>
      <c r="H42" s="2" t="n"/>
      <c r="I42" s="2" t="n"/>
      <c r="J42" s="33" t="n">
        <v>2.06</v>
      </c>
      <c r="K42" s="33" t="n">
        <v>17.52</v>
      </c>
      <c r="L42" s="33" t="n">
        <v>-19.6</v>
      </c>
      <c r="M42" s="33" t="n">
        <v>6.18</v>
      </c>
      <c r="N42" s="33" t="n">
        <v>3.43</v>
      </c>
      <c r="O42" s="33" t="n">
        <v>17.16</v>
      </c>
      <c r="P42" s="33" t="n">
        <v>-19.48</v>
      </c>
      <c r="Q42" s="33" t="n">
        <v>5.95</v>
      </c>
    </row>
    <row r="43">
      <c r="A43" s="3" t="inlineStr">
        <is>
          <t xml:space="preserve">  → Selected (feeds Drivers)</t>
        </is>
      </c>
      <c r="B43" s="2" t="n"/>
      <c r="C43" s="2" t="n"/>
      <c r="D43" s="2" t="n"/>
      <c r="E43" s="2" t="n"/>
      <c r="F43" s="2" t="n"/>
      <c r="G43" s="2" t="n"/>
      <c r="H43" s="2" t="n"/>
      <c r="I43" s="2" t="n"/>
      <c r="J43" s="34">
        <f>CHOOSE($B$4,J40,J41,J42)</f>
        <v/>
      </c>
      <c r="K43" s="34">
        <f>CHOOSE($B$4,K40,K41,K42)</f>
        <v/>
      </c>
      <c r="L43" s="34">
        <f>CHOOSE($B$4,L40,L41,L42)</f>
        <v/>
      </c>
      <c r="M43" s="34">
        <f>CHOOSE($B$4,M40,M41,M42)</f>
        <v/>
      </c>
      <c r="N43" s="34">
        <f>CHOOSE($B$4,N40,N41,N42)</f>
        <v/>
      </c>
      <c r="O43" s="34">
        <f>CHOOSE($B$4,O40,O41,O42)</f>
        <v/>
      </c>
      <c r="P43" s="34">
        <f>CHOOSE($B$4,P40,P41,P42)</f>
        <v/>
      </c>
      <c r="Q43" s="34">
        <f>CHOOSE($B$4,Q40,Q41,Q42)</f>
        <v/>
      </c>
    </row>
    <row r="44">
      <c r="A44" s="2" t="n"/>
      <c r="B44" s="2" t="n"/>
      <c r="C44" s="2" t="n"/>
      <c r="D44" s="2" t="n"/>
      <c r="E44" s="2" t="n"/>
      <c r="F44" s="2" t="n"/>
      <c r="G44" s="2" t="n"/>
      <c r="H44" s="2" t="n"/>
      <c r="I44" s="2" t="n"/>
      <c r="J44" s="2" t="n"/>
      <c r="K44" s="2" t="n"/>
      <c r="L44" s="2" t="n"/>
      <c r="M44" s="2" t="n"/>
      <c r="N44" s="2" t="n"/>
      <c r="O44" s="2" t="n"/>
      <c r="P44" s="2" t="n"/>
      <c r="Q44" s="2" t="n"/>
    </row>
    <row r="45">
      <c r="A45" s="3" t="inlineStr">
        <is>
          <t>Consolidated OPM (%)</t>
        </is>
      </c>
      <c r="B45" s="2" t="n"/>
      <c r="C45" s="2" t="n"/>
      <c r="D45" s="2" t="n"/>
      <c r="E45" s="2" t="n"/>
      <c r="F45" s="2" t="n"/>
      <c r="G45" s="2" t="n"/>
      <c r="H45" s="2" t="n"/>
      <c r="I45" s="2" t="n"/>
      <c r="J45" s="2" t="n"/>
      <c r="K45" s="2" t="n"/>
      <c r="L45" s="2" t="n"/>
      <c r="M45" s="2" t="n"/>
      <c r="N45" s="2" t="n"/>
      <c r="O45" s="2" t="n"/>
      <c r="P45" s="2" t="n"/>
      <c r="Q45" s="2" t="n"/>
    </row>
    <row r="46">
      <c r="A46" s="2" t="inlineStr">
        <is>
          <t xml:space="preserve">  1. Bull</t>
        </is>
      </c>
      <c r="B46" s="2" t="n"/>
      <c r="C46" s="2" t="n"/>
      <c r="D46" s="2" t="n"/>
      <c r="E46" s="2" t="n"/>
      <c r="F46" s="2" t="n"/>
      <c r="G46" s="2" t="n"/>
      <c r="H46" s="2" t="n"/>
      <c r="I46" s="2" t="n"/>
      <c r="J46" s="33" t="n">
        <v>4.25</v>
      </c>
      <c r="K46" s="33" t="n">
        <v>9.27</v>
      </c>
      <c r="L46" s="33" t="n">
        <v>2.42</v>
      </c>
      <c r="M46" s="33" t="n">
        <v>5.72</v>
      </c>
      <c r="N46" s="33" t="n">
        <v>7.52</v>
      </c>
      <c r="O46" s="33" t="n">
        <v>12.32</v>
      </c>
      <c r="P46" s="33" t="n">
        <v>5.05</v>
      </c>
      <c r="Q46" s="33" t="n">
        <v>7.15</v>
      </c>
    </row>
    <row r="47">
      <c r="A47" s="2" t="inlineStr">
        <is>
          <t xml:space="preserve">  2. Base</t>
        </is>
      </c>
      <c r="B47" s="2" t="n"/>
      <c r="C47" s="2" t="n"/>
      <c r="D47" s="2" t="n"/>
      <c r="E47" s="2" t="n"/>
      <c r="F47" s="2" t="n"/>
      <c r="G47" s="2" t="n"/>
      <c r="H47" s="2" t="n"/>
      <c r="I47" s="2" t="n"/>
      <c r="J47" s="33" t="n">
        <v>4.18</v>
      </c>
      <c r="K47" s="33" t="n">
        <v>9.24</v>
      </c>
      <c r="L47" s="33" t="n">
        <v>1.54</v>
      </c>
      <c r="M47" s="33" t="n">
        <v>3.39</v>
      </c>
      <c r="N47" s="33" t="n">
        <v>4.97</v>
      </c>
      <c r="O47" s="33" t="n">
        <v>10.36</v>
      </c>
      <c r="P47" s="33" t="n">
        <v>2.44</v>
      </c>
      <c r="Q47" s="33" t="n">
        <v>4.79</v>
      </c>
    </row>
    <row r="48">
      <c r="A48" s="2" t="inlineStr">
        <is>
          <t xml:space="preserve">  3. Bear</t>
        </is>
      </c>
      <c r="B48" s="2" t="n"/>
      <c r="C48" s="2" t="n"/>
      <c r="D48" s="2" t="n"/>
      <c r="E48" s="2" t="n"/>
      <c r="F48" s="2" t="n"/>
      <c r="G48" s="2" t="n"/>
      <c r="H48" s="2" t="n"/>
      <c r="I48" s="2" t="n"/>
      <c r="J48" s="33" t="n">
        <v>4.16</v>
      </c>
      <c r="K48" s="33" t="n">
        <v>9.23</v>
      </c>
      <c r="L48" s="33" t="n">
        <v>0.85</v>
      </c>
      <c r="M48" s="33" t="n">
        <v>1.43</v>
      </c>
      <c r="N48" s="33" t="n">
        <v>2.85</v>
      </c>
      <c r="O48" s="33" t="n">
        <v>8.65</v>
      </c>
      <c r="P48" s="33" t="n">
        <v>0.15</v>
      </c>
      <c r="Q48" s="33" t="n">
        <v>2.72</v>
      </c>
    </row>
    <row r="49">
      <c r="A49" s="3" t="inlineStr">
        <is>
          <t xml:space="preserve">  → Selected (feeds Drivers)</t>
        </is>
      </c>
      <c r="B49" s="2" t="n"/>
      <c r="C49" s="2" t="n"/>
      <c r="D49" s="2" t="n"/>
      <c r="E49" s="2" t="n"/>
      <c r="F49" s="2" t="n"/>
      <c r="G49" s="2" t="n"/>
      <c r="H49" s="2" t="n"/>
      <c r="I49" s="2" t="n"/>
      <c r="J49" s="34">
        <f>CHOOSE($B$4,J46,J47,J48)</f>
        <v/>
      </c>
      <c r="K49" s="34">
        <f>CHOOSE($B$4,K46,K47,K48)</f>
        <v/>
      </c>
      <c r="L49" s="34">
        <f>CHOOSE($B$4,L46,L47,L48)</f>
        <v/>
      </c>
      <c r="M49" s="34">
        <f>CHOOSE($B$4,M46,M47,M48)</f>
        <v/>
      </c>
      <c r="N49" s="34">
        <f>CHOOSE($B$4,N46,N47,N48)</f>
        <v/>
      </c>
      <c r="O49" s="34">
        <f>CHOOSE($B$4,O46,O47,O48)</f>
        <v/>
      </c>
      <c r="P49" s="34">
        <f>CHOOSE($B$4,P46,P47,P48)</f>
        <v/>
      </c>
      <c r="Q49" s="34">
        <f>CHOOSE($B$4,Q46,Q47,Q48)</f>
        <v/>
      </c>
    </row>
    <row r="50">
      <c r="A50" s="2" t="n"/>
      <c r="B50" s="2" t="n"/>
      <c r="C50" s="2" t="n"/>
      <c r="D50" s="2" t="n"/>
      <c r="E50" s="2" t="n"/>
      <c r="F50" s="2" t="n"/>
      <c r="G50" s="2" t="n"/>
      <c r="H50" s="2" t="n"/>
      <c r="I50" s="2" t="n"/>
      <c r="J50" s="2" t="n"/>
      <c r="K50" s="2" t="n"/>
      <c r="L50" s="2" t="n"/>
      <c r="M50" s="2" t="n"/>
      <c r="N50" s="2" t="n"/>
      <c r="O50" s="2" t="n"/>
      <c r="P50" s="2" t="n"/>
      <c r="Q50" s="2" t="n"/>
    </row>
    <row r="51">
      <c r="A51" s="3" t="inlineStr">
        <is>
          <t>Inventory days — DIO (feeds FS WC days)</t>
        </is>
      </c>
      <c r="B51" s="2" t="n"/>
      <c r="C51" s="2" t="n"/>
      <c r="D51" s="2" t="n"/>
      <c r="E51" s="2" t="n"/>
      <c r="F51" s="2" t="n"/>
      <c r="G51" s="2" t="n"/>
      <c r="H51" s="2" t="n"/>
      <c r="I51" s="2" t="n"/>
      <c r="J51" s="2" t="n"/>
      <c r="K51" s="2" t="n"/>
      <c r="L51" s="2" t="n"/>
      <c r="M51" s="2" t="n"/>
      <c r="N51" s="2" t="n"/>
      <c r="O51" s="2" t="n"/>
      <c r="P51" s="2" t="n"/>
      <c r="Q51" s="2" t="n"/>
    </row>
    <row r="52">
      <c r="A52" s="2" t="inlineStr">
        <is>
          <t xml:space="preserve">  1. Bull</t>
        </is>
      </c>
      <c r="B52" s="2" t="n"/>
      <c r="C52" s="2" t="n"/>
      <c r="D52" s="2" t="n"/>
      <c r="E52" s="2" t="n"/>
      <c r="F52" s="2" t="n"/>
      <c r="G52" s="2" t="n"/>
      <c r="H52" s="2" t="n"/>
      <c r="I52" s="2" t="n"/>
      <c r="J52" s="33" t="n">
        <v>151.9</v>
      </c>
      <c r="K52" s="33" t="n">
        <v>130.1</v>
      </c>
      <c r="L52" s="33" t="n">
        <v>135</v>
      </c>
      <c r="M52" s="33" t="n">
        <v>136.7</v>
      </c>
      <c r="N52" s="33" t="n">
        <v>141.9</v>
      </c>
      <c r="O52" s="33" t="n">
        <v>121.1</v>
      </c>
      <c r="P52" s="33" t="n">
        <v>128</v>
      </c>
      <c r="Q52" s="33" t="n">
        <v>132.7</v>
      </c>
    </row>
    <row r="53">
      <c r="A53" s="2" t="inlineStr">
        <is>
          <t xml:space="preserve">  2. Base</t>
        </is>
      </c>
      <c r="B53" s="2" t="n"/>
      <c r="C53" s="2" t="n"/>
      <c r="D53" s="2" t="n"/>
      <c r="E53" s="2" t="n"/>
      <c r="F53" s="2" t="n"/>
      <c r="G53" s="2" t="n"/>
      <c r="H53" s="2" t="n"/>
      <c r="I53" s="2" t="n"/>
      <c r="J53" s="33" t="n">
        <v>151.9</v>
      </c>
      <c r="K53" s="33" t="n">
        <v>132.1</v>
      </c>
      <c r="L53" s="33" t="n">
        <v>138</v>
      </c>
      <c r="M53" s="33" t="n">
        <v>140.7</v>
      </c>
      <c r="N53" s="33" t="n">
        <v>146.9</v>
      </c>
      <c r="O53" s="33" t="n">
        <v>126.1</v>
      </c>
      <c r="P53" s="33" t="n">
        <v>132</v>
      </c>
      <c r="Q53" s="33" t="n">
        <v>136.7</v>
      </c>
    </row>
    <row r="54">
      <c r="A54" s="2" t="inlineStr">
        <is>
          <t xml:space="preserve">  3. Bear</t>
        </is>
      </c>
      <c r="B54" s="2" t="n"/>
      <c r="C54" s="2" t="n"/>
      <c r="D54" s="2" t="n"/>
      <c r="E54" s="2" t="n"/>
      <c r="F54" s="2" t="n"/>
      <c r="G54" s="2" t="n"/>
      <c r="H54" s="2" t="n"/>
      <c r="I54" s="2" t="n"/>
      <c r="J54" s="33" t="n">
        <v>151.9</v>
      </c>
      <c r="K54" s="33" t="n">
        <v>133.1</v>
      </c>
      <c r="L54" s="33" t="n">
        <v>142</v>
      </c>
      <c r="M54" s="33" t="n">
        <v>147.7</v>
      </c>
      <c r="N54" s="33" t="n">
        <v>155.9</v>
      </c>
      <c r="O54" s="33" t="n">
        <v>138.1</v>
      </c>
      <c r="P54" s="33" t="n">
        <v>146</v>
      </c>
      <c r="Q54" s="33" t="n">
        <v>150.7</v>
      </c>
    </row>
    <row r="55">
      <c r="A55" s="3" t="inlineStr">
        <is>
          <t xml:space="preserve">  → Selected (feeds Drivers)</t>
        </is>
      </c>
      <c r="B55" s="2" t="n"/>
      <c r="C55" s="2" t="n"/>
      <c r="D55" s="2" t="n"/>
      <c r="E55" s="2" t="n"/>
      <c r="F55" s="2" t="n"/>
      <c r="G55" s="2" t="n"/>
      <c r="H55" s="2" t="n"/>
      <c r="I55" s="2" t="n"/>
      <c r="J55" s="34">
        <f>CHOOSE($B$4,J52,J53,J54)</f>
        <v/>
      </c>
      <c r="K55" s="34">
        <f>CHOOSE($B$4,K52,K53,K54)</f>
        <v/>
      </c>
      <c r="L55" s="34">
        <f>CHOOSE($B$4,L52,L53,L54)</f>
        <v/>
      </c>
      <c r="M55" s="34">
        <f>CHOOSE($B$4,M52,M53,M54)</f>
        <v/>
      </c>
      <c r="N55" s="34">
        <f>CHOOSE($B$4,N52,N53,N54)</f>
        <v/>
      </c>
      <c r="O55" s="34">
        <f>CHOOSE($B$4,O52,O53,O54)</f>
        <v/>
      </c>
      <c r="P55" s="34">
        <f>CHOOSE($B$4,P52,P53,P54)</f>
        <v/>
      </c>
      <c r="Q55" s="34">
        <f>CHOOSE($B$4,Q52,Q53,Q54)</f>
        <v/>
      </c>
    </row>
  </sheetData>
  <dataValidations count="1">
    <dataValidation sqref="B4" showDropDown="0" showInputMessage="0" showErrorMessage="0" allowBlank="0" type="list">
      <formula1>"1,2,3"</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42"/>
  <sheetViews>
    <sheetView workbookViewId="0">
      <selection activeCell="A1" sqref="A1"/>
    </sheetView>
  </sheetViews>
  <sheetFormatPr baseColWidth="8" defaultRowHeight="15"/>
  <cols>
    <col width="32" customWidth="1" min="1" max="1"/>
    <col width="9"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11" customWidth="1" min="20" max="20"/>
    <col width="11" customWidth="1" min="21" max="21"/>
    <col width="11" customWidth="1" min="22" max="22"/>
    <col width="11" customWidth="1" min="23" max="23"/>
    <col width="11" customWidth="1" min="24" max="24"/>
  </cols>
  <sheetData>
    <row r="1">
      <c r="A1" s="1" t="inlineStr">
        <is>
          <t>Sumitomo Rubber Industries 51100 — Drivers</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row>
    <row r="2">
      <c r="A2" s="35" t="inlineStr">
        <is>
          <t>BLUE = input/actual; BLACK = same-sheet formula; GREEN = cross-sheet; YELLOW bg = forecast cell</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row>
    <row r="3">
      <c r="A3" s="2" t="n"/>
      <c r="B3" s="2" t="n"/>
      <c r="C3" s="2" t="n"/>
      <c r="D3" s="2" t="n"/>
      <c r="E3" s="2" t="n"/>
      <c r="F3" s="2" t="n"/>
      <c r="G3" s="2" t="n"/>
      <c r="H3" s="2" t="n"/>
      <c r="I3" s="2" t="n"/>
      <c r="J3" s="2" t="n"/>
      <c r="K3" s="2" t="n"/>
      <c r="L3" s="2" t="n"/>
      <c r="M3" s="2" t="n"/>
      <c r="N3" s="2" t="n"/>
      <c r="O3" s="2" t="n"/>
      <c r="P3" s="2" t="n"/>
      <c r="Q3" s="2" t="n"/>
      <c r="R3" s="2" t="n"/>
      <c r="S3" s="2" t="n"/>
      <c r="T3" s="2" t="n"/>
      <c r="U3" s="2" t="n"/>
      <c r="V3" s="2" t="n"/>
      <c r="W3" s="2" t="n"/>
      <c r="X3" s="2" t="n"/>
    </row>
    <row r="4">
      <c r="A4" s="36" t="inlineStr">
        <is>
          <t>1. Sales QoQ Growth (%) — ← Scenarios sheet (pick case 1/2/3 there; edit case rows there)</t>
        </is>
      </c>
      <c r="B4" s="2" t="n"/>
      <c r="C4" s="2" t="n"/>
      <c r="D4" s="2" t="n"/>
      <c r="E4" s="2" t="n"/>
      <c r="F4" s="2" t="n"/>
      <c r="G4" s="2" t="n"/>
      <c r="H4" s="2" t="n"/>
      <c r="I4" s="2" t="n"/>
      <c r="J4" s="2" t="n"/>
      <c r="K4" s="2" t="n"/>
      <c r="L4" s="2" t="n"/>
      <c r="M4" s="2" t="n"/>
      <c r="N4" s="2" t="n"/>
      <c r="O4" s="2" t="n"/>
      <c r="P4" s="2" t="n"/>
      <c r="Q4" s="2" t="n"/>
      <c r="R4" s="2" t="n"/>
      <c r="S4" s="2" t="n"/>
      <c r="T4" s="2" t="n"/>
      <c r="U4" s="2" t="n"/>
      <c r="V4" s="2" t="n"/>
      <c r="W4" s="2" t="n"/>
      <c r="X4" s="2" t="n"/>
    </row>
    <row r="5">
      <c r="A5" s="2" t="n"/>
      <c r="B5" s="37" t="inlineStr">
        <is>
          <t>FY24Q3</t>
        </is>
      </c>
      <c r="C5" s="37" t="inlineStr">
        <is>
          <t>FY24Q4</t>
        </is>
      </c>
      <c r="D5" s="37" t="inlineStr">
        <is>
          <t>FY25Q1</t>
        </is>
      </c>
      <c r="E5" s="37" t="inlineStr">
        <is>
          <t>FY25Q2</t>
        </is>
      </c>
      <c r="F5" s="37" t="inlineStr">
        <is>
          <t>FY25Q3</t>
        </is>
      </c>
      <c r="G5" s="37" t="inlineStr">
        <is>
          <t>FY25Q4</t>
        </is>
      </c>
      <c r="H5" s="37" t="inlineStr">
        <is>
          <t>FY26Q1</t>
        </is>
      </c>
      <c r="I5" s="37" t="inlineStr">
        <is>
          <t>FY26Q2</t>
        </is>
      </c>
      <c r="J5" s="38" t="inlineStr">
        <is>
          <t>FY26Q3</t>
        </is>
      </c>
      <c r="K5" s="38" t="inlineStr">
        <is>
          <t>FY26Q4</t>
        </is>
      </c>
      <c r="L5" s="38" t="inlineStr">
        <is>
          <t>FY27Q1</t>
        </is>
      </c>
      <c r="M5" s="38" t="inlineStr">
        <is>
          <t>FY27Q2</t>
        </is>
      </c>
      <c r="N5" s="38" t="inlineStr">
        <is>
          <t>FY27Q3</t>
        </is>
      </c>
      <c r="O5" s="38" t="inlineStr">
        <is>
          <t>FY27Q4</t>
        </is>
      </c>
      <c r="P5" s="38" t="inlineStr">
        <is>
          <t>FY28Q1</t>
        </is>
      </c>
      <c r="Q5" s="38" t="inlineStr">
        <is>
          <t>FY28Q2</t>
        </is>
      </c>
      <c r="R5" s="2" t="n"/>
      <c r="S5" s="2" t="n"/>
      <c r="T5" s="37" t="inlineStr">
        <is>
          <t>FY24</t>
        </is>
      </c>
      <c r="U5" s="37" t="inlineStr">
        <is>
          <t>FY25</t>
        </is>
      </c>
      <c r="V5" s="39" t="inlineStr">
        <is>
          <t>FY26</t>
        </is>
      </c>
      <c r="W5" s="39" t="inlineStr">
        <is>
          <t>FY27</t>
        </is>
      </c>
      <c r="X5" s="39" t="inlineStr">
        <is>
          <t>FY28</t>
        </is>
      </c>
    </row>
    <row r="6">
      <c r="A6" s="3" t="inlineStr">
        <is>
          <t>Tires</t>
        </is>
      </c>
      <c r="B6" s="2" t="n"/>
      <c r="C6" s="2" t="n"/>
      <c r="D6" s="2" t="n"/>
      <c r="E6" s="2" t="n"/>
      <c r="F6" s="2" t="n"/>
      <c r="G6" s="2" t="n"/>
      <c r="H6" s="2" t="n"/>
      <c r="I6" s="2" t="n"/>
      <c r="J6" s="40">
        <f>Scenarios!J43</f>
        <v/>
      </c>
      <c r="K6" s="40">
        <f>Scenarios!K43</f>
        <v/>
      </c>
      <c r="L6" s="40">
        <f>Scenarios!L43</f>
        <v/>
      </c>
      <c r="M6" s="40">
        <f>Scenarios!M43</f>
        <v/>
      </c>
      <c r="N6" s="40">
        <f>Scenarios!N43</f>
        <v/>
      </c>
      <c r="O6" s="40">
        <f>Scenarios!O43</f>
        <v/>
      </c>
      <c r="P6" s="40">
        <f>Scenarios!P43</f>
        <v/>
      </c>
      <c r="Q6" s="40">
        <f>Scenarios!Q43</f>
        <v/>
      </c>
      <c r="R6" s="2" t="n"/>
      <c r="S6" s="2" t="n"/>
      <c r="T6" s="2" t="n"/>
      <c r="U6" s="2" t="n"/>
      <c r="V6" s="2" t="n"/>
      <c r="W6" s="2" t="n"/>
      <c r="X6" s="2" t="n"/>
    </row>
    <row r="7">
      <c r="A7" s="3" t="inlineStr">
        <is>
          <t>Sports</t>
        </is>
      </c>
      <c r="B7" s="2" t="n"/>
      <c r="C7" s="2" t="n"/>
      <c r="D7" s="2" t="n"/>
      <c r="E7" s="2" t="n"/>
      <c r="F7" s="2" t="n"/>
      <c r="G7" s="2" t="n"/>
      <c r="H7" s="2" t="n"/>
      <c r="I7" s="2" t="n"/>
      <c r="J7" s="40">
        <f>Scenarios!J43</f>
        <v/>
      </c>
      <c r="K7" s="40">
        <f>Scenarios!K43</f>
        <v/>
      </c>
      <c r="L7" s="40">
        <f>Scenarios!L43</f>
        <v/>
      </c>
      <c r="M7" s="40">
        <f>Scenarios!M43</f>
        <v/>
      </c>
      <c r="N7" s="40">
        <f>Scenarios!N43</f>
        <v/>
      </c>
      <c r="O7" s="40">
        <f>Scenarios!O43</f>
        <v/>
      </c>
      <c r="P7" s="40">
        <f>Scenarios!P43</f>
        <v/>
      </c>
      <c r="Q7" s="40">
        <f>Scenarios!Q43</f>
        <v/>
      </c>
      <c r="R7" s="2" t="n"/>
      <c r="S7" s="2" t="n"/>
      <c r="T7" s="2" t="n"/>
      <c r="U7" s="2" t="n"/>
      <c r="V7" s="2" t="n"/>
      <c r="W7" s="2" t="n"/>
      <c r="X7" s="2" t="n"/>
    </row>
    <row r="8">
      <c r="A8" s="3" t="inlineStr">
        <is>
          <t>IndustrialAndOtherProducts</t>
        </is>
      </c>
      <c r="B8" s="2" t="n"/>
      <c r="C8" s="2" t="n"/>
      <c r="D8" s="2" t="n"/>
      <c r="E8" s="2" t="n"/>
      <c r="F8" s="2" t="n"/>
      <c r="G8" s="2" t="n"/>
      <c r="H8" s="2" t="n"/>
      <c r="I8" s="2" t="n"/>
      <c r="J8" s="40">
        <f>Scenarios!J43</f>
        <v/>
      </c>
      <c r="K8" s="40">
        <f>Scenarios!K43</f>
        <v/>
      </c>
      <c r="L8" s="40">
        <f>Scenarios!L43</f>
        <v/>
      </c>
      <c r="M8" s="40">
        <f>Scenarios!M43</f>
        <v/>
      </c>
      <c r="N8" s="40">
        <f>Scenarios!N43</f>
        <v/>
      </c>
      <c r="O8" s="40">
        <f>Scenarios!O43</f>
        <v/>
      </c>
      <c r="P8" s="40">
        <f>Scenarios!P43</f>
        <v/>
      </c>
      <c r="Q8" s="40">
        <f>Scenarios!Q43</f>
        <v/>
      </c>
      <c r="R8" s="2" t="n"/>
      <c r="S8" s="2" t="n"/>
      <c r="T8" s="2" t="n"/>
      <c r="U8" s="2" t="n"/>
      <c r="V8" s="2" t="n"/>
      <c r="W8" s="2" t="n"/>
      <c r="X8" s="2" t="n"/>
    </row>
    <row r="9">
      <c r="A9" s="2" t="n"/>
      <c r="B9" s="2" t="n"/>
      <c r="C9" s="2" t="n"/>
      <c r="D9" s="2" t="n"/>
      <c r="E9" s="2" t="n"/>
      <c r="F9" s="2" t="n"/>
      <c r="G9" s="2" t="n"/>
      <c r="H9" s="2" t="n"/>
      <c r="I9" s="2" t="n"/>
      <c r="J9" s="2" t="n"/>
      <c r="K9" s="2" t="n"/>
      <c r="L9" s="2" t="n"/>
      <c r="M9" s="2" t="n"/>
      <c r="N9" s="2" t="n"/>
      <c r="O9" s="2" t="n"/>
      <c r="P9" s="2" t="n"/>
      <c r="Q9" s="2" t="n"/>
      <c r="R9" s="2" t="n"/>
      <c r="S9" s="2" t="n"/>
      <c r="T9" s="2" t="n"/>
      <c r="U9" s="2" t="n"/>
      <c r="V9" s="2" t="n"/>
      <c r="W9" s="2" t="n"/>
      <c r="X9" s="2" t="n"/>
    </row>
    <row r="10">
      <c r="A10" s="3" t="inlineStr">
        <is>
          <t>Consolidated OPM (%) — ← Scenarios sheet selected case (OP = Sales × OPM)</t>
        </is>
      </c>
      <c r="B10" s="2" t="n"/>
      <c r="C10" s="2" t="n"/>
      <c r="D10" s="2" t="n"/>
      <c r="E10" s="2" t="n"/>
      <c r="F10" s="2" t="n"/>
      <c r="G10" s="2" t="n"/>
      <c r="H10" s="2" t="n"/>
      <c r="I10" s="2" t="n"/>
      <c r="J10" s="40">
        <f>Scenarios!J49</f>
        <v/>
      </c>
      <c r="K10" s="40">
        <f>Scenarios!K49</f>
        <v/>
      </c>
      <c r="L10" s="40">
        <f>Scenarios!L49</f>
        <v/>
      </c>
      <c r="M10" s="40">
        <f>Scenarios!M49</f>
        <v/>
      </c>
      <c r="N10" s="40">
        <f>Scenarios!N49</f>
        <v/>
      </c>
      <c r="O10" s="40">
        <f>Scenarios!O49</f>
        <v/>
      </c>
      <c r="P10" s="40">
        <f>Scenarios!P49</f>
        <v/>
      </c>
      <c r="Q10" s="40">
        <f>Scenarios!Q49</f>
        <v/>
      </c>
      <c r="R10" s="2" t="n"/>
      <c r="S10" s="2" t="n"/>
      <c r="T10" s="2" t="n"/>
      <c r="U10" s="2" t="n"/>
      <c r="V10" s="2" t="n"/>
      <c r="W10" s="2" t="n"/>
      <c r="X10" s="2" t="n"/>
    </row>
    <row r="11">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row>
    <row r="12">
      <c r="A12" s="36" t="inlineStr">
        <is>
          <t>2. Sales by Segment (億円) — historical actuals from deck</t>
        </is>
      </c>
      <c r="B12" s="2" t="n"/>
      <c r="C12" s="2" t="n"/>
      <c r="D12" s="2" t="n"/>
      <c r="E12" s="2" t="n"/>
      <c r="F12" s="2" t="n"/>
      <c r="G12" s="2" t="n"/>
      <c r="H12" s="2" t="n"/>
      <c r="I12" s="2" t="n"/>
      <c r="J12" s="2" t="n"/>
      <c r="K12" s="2" t="n"/>
      <c r="L12" s="2" t="n"/>
      <c r="M12" s="2" t="n"/>
      <c r="N12" s="2" t="n"/>
      <c r="O12" s="2" t="n"/>
      <c r="P12" s="2" t="n"/>
      <c r="Q12" s="2" t="n"/>
      <c r="R12" s="2" t="n"/>
      <c r="S12" s="2" t="n"/>
      <c r="T12" s="2" t="n"/>
      <c r="U12" s="2" t="n"/>
      <c r="V12" s="2" t="n"/>
      <c r="W12" s="2" t="n"/>
      <c r="X12" s="2" t="n"/>
    </row>
    <row r="13">
      <c r="A13" s="6" t="inlineStr"/>
      <c r="B13" s="37" t="inlineStr">
        <is>
          <t>FY24Q3</t>
        </is>
      </c>
      <c r="C13" s="37" t="inlineStr">
        <is>
          <t>FY24Q4</t>
        </is>
      </c>
      <c r="D13" s="37" t="inlineStr">
        <is>
          <t>FY25Q1</t>
        </is>
      </c>
      <c r="E13" s="37" t="inlineStr">
        <is>
          <t>FY25Q2</t>
        </is>
      </c>
      <c r="F13" s="37" t="inlineStr">
        <is>
          <t>FY25Q3</t>
        </is>
      </c>
      <c r="G13" s="37" t="inlineStr">
        <is>
          <t>FY25Q4</t>
        </is>
      </c>
      <c r="H13" s="37" t="inlineStr">
        <is>
          <t>FY26Q1</t>
        </is>
      </c>
      <c r="I13" s="37" t="inlineStr">
        <is>
          <t>FY26Q2</t>
        </is>
      </c>
      <c r="J13" s="2" t="n"/>
      <c r="K13" s="2" t="n"/>
      <c r="L13" s="2" t="n"/>
      <c r="M13" s="2" t="n"/>
      <c r="N13" s="2" t="n"/>
      <c r="O13" s="2" t="n"/>
      <c r="P13" s="2" t="n"/>
      <c r="Q13" s="2" t="n"/>
      <c r="R13" s="2" t="n"/>
      <c r="S13" s="2" t="n"/>
      <c r="T13" s="37" t="inlineStr">
        <is>
          <t>FY24</t>
        </is>
      </c>
      <c r="U13" s="37" t="inlineStr">
        <is>
          <t>FY25</t>
        </is>
      </c>
      <c r="V13" s="39" t="inlineStr">
        <is>
          <t>FY26</t>
        </is>
      </c>
      <c r="W13" s="2" t="n"/>
      <c r="X13" s="2" t="n"/>
    </row>
    <row r="14">
      <c r="A14" s="3" t="inlineStr">
        <is>
          <t>Tires</t>
        </is>
      </c>
      <c r="B14" s="2" t="n"/>
      <c r="C14" s="10" t="n">
        <v>10463.94</v>
      </c>
      <c r="D14" s="2" t="n"/>
      <c r="E14" s="2" t="n"/>
      <c r="F14" s="2" t="n"/>
      <c r="G14" s="10" t="n">
        <v>10436.83</v>
      </c>
      <c r="H14" s="2" t="n"/>
      <c r="I14" s="2" t="n"/>
      <c r="J14" s="2" t="n"/>
      <c r="K14" s="2" t="n"/>
      <c r="L14" s="2" t="n"/>
      <c r="M14" s="2" t="n"/>
      <c r="N14" s="2" t="n"/>
      <c r="O14" s="2" t="n"/>
      <c r="P14" s="2" t="n"/>
      <c r="Q14" s="2" t="n"/>
      <c r="R14" s="2" t="n"/>
      <c r="S14" s="2" t="n"/>
      <c r="T14" s="41">
        <f>IF(COUNT(B14:C14)=0,"",SUM(B14:C14))</f>
        <v/>
      </c>
      <c r="U14" s="41">
        <f>IF(COUNT(D14:G14)=0,"",SUM(D14:G14))</f>
        <v/>
      </c>
      <c r="V14" s="41">
        <f>IF(COUNT(H14:K14)=0,"",SUM(H14:K14))</f>
        <v/>
      </c>
      <c r="W14" s="41">
        <f>IF(COUNT(L14:O14)=0,"",SUM(L14:O14))</f>
        <v/>
      </c>
      <c r="X14" s="41">
        <f>IF(COUNT(P14:Q14)=0,"",SUM(P14:Q14))</f>
        <v/>
      </c>
    </row>
    <row r="15">
      <c r="A15" s="3" t="inlineStr">
        <is>
          <t>Sports</t>
        </is>
      </c>
      <c r="B15" s="2" t="n"/>
      <c r="C15" s="10" t="n">
        <v>1256.5</v>
      </c>
      <c r="D15" s="2" t="n"/>
      <c r="E15" s="2" t="n"/>
      <c r="F15" s="2" t="n"/>
      <c r="G15" s="10" t="n">
        <v>1255.74</v>
      </c>
      <c r="H15" s="2" t="n"/>
      <c r="I15" s="2" t="n"/>
      <c r="J15" s="2" t="n"/>
      <c r="K15" s="2" t="n"/>
      <c r="L15" s="2" t="n"/>
      <c r="M15" s="2" t="n"/>
      <c r="N15" s="2" t="n"/>
      <c r="O15" s="2" t="n"/>
      <c r="P15" s="2" t="n"/>
      <c r="Q15" s="2" t="n"/>
      <c r="R15" s="2" t="n"/>
      <c r="S15" s="2" t="n"/>
      <c r="T15" s="41">
        <f>IF(COUNT(B15:C15)=0,"",SUM(B15:C15))</f>
        <v/>
      </c>
      <c r="U15" s="41">
        <f>IF(COUNT(D15:G15)=0,"",SUM(D15:G15))</f>
        <v/>
      </c>
      <c r="V15" s="41">
        <f>IF(COUNT(H15:K15)=0,"",SUM(H15:K15))</f>
        <v/>
      </c>
      <c r="W15" s="41">
        <f>IF(COUNT(L15:O15)=0,"",SUM(L15:O15))</f>
        <v/>
      </c>
      <c r="X15" s="41">
        <f>IF(COUNT(P15:Q15)=0,"",SUM(P15:Q15))</f>
        <v/>
      </c>
    </row>
    <row r="16">
      <c r="A16" s="3" t="inlineStr">
        <is>
          <t>IndustrialAndOtherProducts</t>
        </is>
      </c>
      <c r="B16" s="2" t="n"/>
      <c r="C16" s="10" t="n">
        <v>398.12</v>
      </c>
      <c r="D16" s="2" t="n"/>
      <c r="E16" s="2" t="n"/>
      <c r="F16" s="2" t="n"/>
      <c r="G16" s="10" t="n">
        <v>378.04</v>
      </c>
      <c r="H16" s="2" t="n"/>
      <c r="I16" s="2" t="n"/>
      <c r="J16" s="2" t="n"/>
      <c r="K16" s="2" t="n"/>
      <c r="L16" s="2" t="n"/>
      <c r="M16" s="2" t="n"/>
      <c r="N16" s="2" t="n"/>
      <c r="O16" s="2" t="n"/>
      <c r="P16" s="2" t="n"/>
      <c r="Q16" s="2" t="n"/>
      <c r="R16" s="2" t="n"/>
      <c r="S16" s="2" t="n"/>
      <c r="T16" s="41">
        <f>IF(COUNT(B16:C16)=0,"",SUM(B16:C16))</f>
        <v/>
      </c>
      <c r="U16" s="41">
        <f>IF(COUNT(D16:G16)=0,"",SUM(D16:G16))</f>
        <v/>
      </c>
      <c r="V16" s="41">
        <f>IF(COUNT(H16:K16)=0,"",SUM(H16:K16))</f>
        <v/>
      </c>
      <c r="W16" s="41">
        <f>IF(COUNT(L16:O16)=0,"",SUM(L16:O16))</f>
        <v/>
      </c>
      <c r="X16" s="41">
        <f>IF(COUNT(P16:Q16)=0,"",SUM(P16:Q16))</f>
        <v/>
      </c>
    </row>
    <row r="17">
      <c r="A17" s="3" t="inlineStr">
        <is>
          <t>TOTAL</t>
        </is>
      </c>
      <c r="B17" s="42">
        <f>SUM(B14:B16)</f>
        <v/>
      </c>
      <c r="C17" s="42">
        <f>SUM(C14:C16)</f>
        <v/>
      </c>
      <c r="D17" s="42">
        <f>SUM(D14:D16)</f>
        <v/>
      </c>
      <c r="E17" s="42">
        <f>SUM(E14:E16)</f>
        <v/>
      </c>
      <c r="F17" s="42">
        <f>SUM(F14:F16)</f>
        <v/>
      </c>
      <c r="G17" s="42">
        <f>SUM(G14:G16)</f>
        <v/>
      </c>
      <c r="H17" s="42">
        <f>SUM(H14:H16)</f>
        <v/>
      </c>
      <c r="I17" s="42">
        <f>SUM(I14:I16)</f>
        <v/>
      </c>
      <c r="J17" s="2" t="n"/>
      <c r="K17" s="2" t="n"/>
      <c r="L17" s="2" t="n"/>
      <c r="M17" s="2" t="n"/>
      <c r="N17" s="2" t="n"/>
      <c r="O17" s="2" t="n"/>
      <c r="P17" s="2" t="n"/>
      <c r="Q17" s="2" t="n"/>
      <c r="R17" s="2" t="n"/>
      <c r="S17" s="2" t="n"/>
      <c r="T17" s="43">
        <f>IF(COUNT(B17:C17)=0,"",SUM(B17:C17))</f>
        <v/>
      </c>
      <c r="U17" s="43">
        <f>IF(COUNT(D17:G17)=0,"",SUM(D17:G17))</f>
        <v/>
      </c>
      <c r="V17" s="43">
        <f>IF(COUNT(H17:K17)=0,"",SUM(H17:K17))</f>
        <v/>
      </c>
      <c r="W17" s="43">
        <f>IF(COUNT(L17:O17)=0,"",SUM(L17:O17))</f>
        <v/>
      </c>
      <c r="X17" s="43">
        <f>IF(COUNT(P17:Q17)=0,"",SUM(P17:Q17))</f>
        <v/>
      </c>
    </row>
    <row r="18">
      <c r="A18" s="2" t="n"/>
      <c r="B18" s="2" t="n"/>
      <c r="C18" s="2" t="n"/>
      <c r="D18" s="2" t="n"/>
      <c r="E18" s="2" t="n"/>
      <c r="F18" s="2" t="n"/>
      <c r="G18" s="2" t="n"/>
      <c r="H18" s="2" t="n"/>
      <c r="I18" s="2" t="n"/>
      <c r="J18" s="2" t="n"/>
      <c r="K18" s="2" t="n"/>
      <c r="L18" s="2" t="n"/>
      <c r="M18" s="2" t="n"/>
      <c r="N18" s="2" t="n"/>
      <c r="O18" s="2" t="n"/>
      <c r="P18" s="2" t="n"/>
      <c r="Q18" s="2" t="n"/>
      <c r="R18" s="2" t="n"/>
      <c r="S18" s="2" t="n"/>
      <c r="T18" s="2" t="n"/>
      <c r="U18" s="2" t="n"/>
      <c r="V18" s="2" t="n"/>
      <c r="W18" s="2" t="n"/>
      <c r="X18" s="2" t="n"/>
    </row>
    <row r="19">
      <c r="A19" s="3" t="inlineStr">
        <is>
          <t xml:space="preserve">   ↳ Segment OP (factbook 営業利益, 億)</t>
        </is>
      </c>
      <c r="B19" s="2" t="n"/>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row>
    <row r="20">
      <c r="A20" s="2" t="inlineStr">
        <is>
          <t>Tires OP</t>
        </is>
      </c>
      <c r="B20" s="2" t="n"/>
      <c r="C20" s="2" t="n"/>
      <c r="D20" s="2" t="n"/>
      <c r="E20" s="2" t="n"/>
      <c r="F20" s="2" t="n"/>
      <c r="G20" s="2" t="n"/>
      <c r="H20" s="2" t="n"/>
      <c r="I20" s="2" t="n"/>
      <c r="J20" s="2" t="n"/>
      <c r="K20" s="2" t="n"/>
      <c r="L20" s="2" t="n"/>
      <c r="M20" s="2" t="n"/>
      <c r="N20" s="2" t="n"/>
      <c r="O20" s="2" t="n"/>
      <c r="P20" s="2" t="n"/>
      <c r="Q20" s="2" t="n"/>
      <c r="R20" s="2" t="n"/>
      <c r="S20" s="2" t="n"/>
      <c r="T20" s="41">
        <f>IF(COUNT(B20:C20)=0,"",SUM(B20:C20))</f>
        <v/>
      </c>
      <c r="U20" s="41">
        <f>IF(COUNT(D20:G20)=0,"",SUM(D20:G20))</f>
        <v/>
      </c>
      <c r="V20" s="41">
        <f>IF(COUNT(H20:K20)=0,"",SUM(H20:K20))</f>
        <v/>
      </c>
      <c r="W20" s="41">
        <f>IF(COUNT(L20:O20)=0,"",SUM(L20:O20))</f>
        <v/>
      </c>
      <c r="X20" s="41">
        <f>IF(COUNT(P20:Q20)=0,"",SUM(P20:Q20))</f>
        <v/>
      </c>
    </row>
    <row r="21">
      <c r="A21" s="2" t="inlineStr">
        <is>
          <t>Sports OP</t>
        </is>
      </c>
      <c r="B21" s="2" t="n"/>
      <c r="C21" s="2" t="n"/>
      <c r="D21" s="2" t="n"/>
      <c r="E21" s="2" t="n"/>
      <c r="F21" s="2" t="n"/>
      <c r="G21" s="2" t="n"/>
      <c r="H21" s="2" t="n"/>
      <c r="I21" s="2" t="n"/>
      <c r="J21" s="2" t="n"/>
      <c r="K21" s="2" t="n"/>
      <c r="L21" s="2" t="n"/>
      <c r="M21" s="2" t="n"/>
      <c r="N21" s="2" t="n"/>
      <c r="O21" s="2" t="n"/>
      <c r="P21" s="2" t="n"/>
      <c r="Q21" s="2" t="n"/>
      <c r="R21" s="2" t="n"/>
      <c r="S21" s="2" t="n"/>
      <c r="T21" s="41">
        <f>IF(COUNT(B21:C21)=0,"",SUM(B21:C21))</f>
        <v/>
      </c>
      <c r="U21" s="41">
        <f>IF(COUNT(D21:G21)=0,"",SUM(D21:G21))</f>
        <v/>
      </c>
      <c r="V21" s="41">
        <f>IF(COUNT(H21:K21)=0,"",SUM(H21:K21))</f>
        <v/>
      </c>
      <c r="W21" s="41">
        <f>IF(COUNT(L21:O21)=0,"",SUM(L21:O21))</f>
        <v/>
      </c>
      <c r="X21" s="41">
        <f>IF(COUNT(P21:Q21)=0,"",SUM(P21:Q21))</f>
        <v/>
      </c>
    </row>
    <row r="22">
      <c r="A22" s="2" t="inlineStr">
        <is>
          <t>IndustrialAndOtherProducts OP</t>
        </is>
      </c>
      <c r="B22" s="2" t="n"/>
      <c r="C22" s="2" t="n"/>
      <c r="D22" s="2" t="n"/>
      <c r="E22" s="2" t="n"/>
      <c r="F22" s="2" t="n"/>
      <c r="G22" s="2" t="n"/>
      <c r="H22" s="2" t="n"/>
      <c r="I22" s="2" t="n"/>
      <c r="J22" s="2" t="n"/>
      <c r="K22" s="2" t="n"/>
      <c r="L22" s="2" t="n"/>
      <c r="M22" s="2" t="n"/>
      <c r="N22" s="2" t="n"/>
      <c r="O22" s="2" t="n"/>
      <c r="P22" s="2" t="n"/>
      <c r="Q22" s="2" t="n"/>
      <c r="R22" s="2" t="n"/>
      <c r="S22" s="2" t="n"/>
      <c r="T22" s="41">
        <f>IF(COUNT(B22:C22)=0,"",SUM(B22:C22))</f>
        <v/>
      </c>
      <c r="U22" s="41">
        <f>IF(COUNT(D22:G22)=0,"",SUM(D22:G22))</f>
        <v/>
      </c>
      <c r="V22" s="41">
        <f>IF(COUNT(H22:K22)=0,"",SUM(H22:K22))</f>
        <v/>
      </c>
      <c r="W22" s="41">
        <f>IF(COUNT(L22:O22)=0,"",SUM(L22:O22))</f>
        <v/>
      </c>
      <c r="X22" s="41">
        <f>IF(COUNT(P22:Q22)=0,"",SUM(P22:Q22))</f>
        <v/>
      </c>
    </row>
    <row r="23">
      <c r="A23" s="3" t="inlineStr">
        <is>
          <t>OP TOTAL (= consolidated)</t>
        </is>
      </c>
      <c r="B23" s="42">
        <f>SUM(B20:B22)</f>
        <v/>
      </c>
      <c r="C23" s="42">
        <f>SUM(C20:C22)</f>
        <v/>
      </c>
      <c r="D23" s="42">
        <f>SUM(D20:D22)</f>
        <v/>
      </c>
      <c r="E23" s="42">
        <f>SUM(E20:E22)</f>
        <v/>
      </c>
      <c r="F23" s="42">
        <f>SUM(F20:F22)</f>
        <v/>
      </c>
      <c r="G23" s="42">
        <f>SUM(G20:G22)</f>
        <v/>
      </c>
      <c r="H23" s="42">
        <f>SUM(H20:H22)</f>
        <v/>
      </c>
      <c r="I23" s="42">
        <f>SUM(I20:I22)</f>
        <v/>
      </c>
      <c r="J23" s="2" t="n"/>
      <c r="K23" s="2" t="n"/>
      <c r="L23" s="2" t="n"/>
      <c r="M23" s="2" t="n"/>
      <c r="N23" s="2" t="n"/>
      <c r="O23" s="2" t="n"/>
      <c r="P23" s="2" t="n"/>
      <c r="Q23" s="2" t="n"/>
      <c r="R23" s="2" t="n"/>
      <c r="S23" s="2" t="n"/>
      <c r="T23" s="43">
        <f>IF(COUNT(B23:C23)=0,"",SUM(B23:C23))</f>
        <v/>
      </c>
      <c r="U23" s="43">
        <f>IF(COUNT(D23:G23)=0,"",SUM(D23:G23))</f>
        <v/>
      </c>
      <c r="V23" s="43">
        <f>IF(COUNT(H23:K23)=0,"",SUM(H23:K23))</f>
        <v/>
      </c>
      <c r="W23" s="43">
        <f>IF(COUNT(L23:O23)=0,"",SUM(L23:O23))</f>
        <v/>
      </c>
      <c r="X23" s="43">
        <f>IF(COUNT(P23:Q23)=0,"",SUM(P23:Q23))</f>
        <v/>
      </c>
    </row>
    <row r="24">
      <c r="A24" s="2" t="n"/>
      <c r="B24" s="2"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row>
    <row r="25">
      <c r="A25" s="36" t="inlineStr">
        <is>
          <t>4. Sales by Region (億円)</t>
        </is>
      </c>
      <c r="B25" s="2"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row>
    <row r="26">
      <c r="A26" s="6" t="inlineStr"/>
      <c r="B26" s="37" t="inlineStr">
        <is>
          <t>FY24Q3</t>
        </is>
      </c>
      <c r="C26" s="37" t="inlineStr">
        <is>
          <t>FY24Q4</t>
        </is>
      </c>
      <c r="D26" s="37" t="inlineStr">
        <is>
          <t>FY25Q1</t>
        </is>
      </c>
      <c r="E26" s="37" t="inlineStr">
        <is>
          <t>FY25Q2</t>
        </is>
      </c>
      <c r="F26" s="37" t="inlineStr">
        <is>
          <t>FY25Q3</t>
        </is>
      </c>
      <c r="G26" s="37" t="inlineStr">
        <is>
          <t>FY25Q4</t>
        </is>
      </c>
      <c r="H26" s="37" t="inlineStr">
        <is>
          <t>FY26Q1</t>
        </is>
      </c>
      <c r="I26" s="37" t="inlineStr">
        <is>
          <t>FY26Q2</t>
        </is>
      </c>
      <c r="J26" s="2" t="n"/>
      <c r="K26" s="2" t="n"/>
      <c r="L26" s="2" t="n"/>
      <c r="M26" s="2" t="n"/>
      <c r="N26" s="2" t="n"/>
      <c r="O26" s="2" t="n"/>
      <c r="P26" s="2" t="n"/>
      <c r="Q26" s="2" t="n"/>
      <c r="R26" s="2" t="n"/>
      <c r="S26" s="2" t="n"/>
      <c r="T26" s="37" t="inlineStr">
        <is>
          <t>FY24</t>
        </is>
      </c>
      <c r="U26" s="37" t="inlineStr">
        <is>
          <t>FY25</t>
        </is>
      </c>
      <c r="V26" s="39" t="inlineStr">
        <is>
          <t>FY26</t>
        </is>
      </c>
      <c r="W26" s="2" t="n"/>
      <c r="X26" s="2" t="n"/>
    </row>
    <row r="27">
      <c r="A27" s="2" t="inlineStr">
        <is>
          <t>日本</t>
        </is>
      </c>
      <c r="B27" s="2" t="n"/>
      <c r="C27" s="2" t="n"/>
      <c r="D27" s="2" t="n"/>
      <c r="E27" s="2" t="n"/>
      <c r="F27" s="2" t="n"/>
      <c r="G27" s="2" t="n"/>
      <c r="H27" s="2" t="n"/>
      <c r="I27" s="2" t="n"/>
      <c r="J27" s="2" t="n"/>
      <c r="K27" s="2" t="n"/>
      <c r="L27" s="2" t="n"/>
      <c r="M27" s="2" t="n"/>
      <c r="N27" s="2" t="n"/>
      <c r="O27" s="2" t="n"/>
      <c r="P27" s="2" t="n"/>
      <c r="Q27" s="2" t="n"/>
      <c r="R27" s="2" t="n"/>
      <c r="S27" s="2" t="n"/>
      <c r="T27" s="41">
        <f>IF(COUNT(B27:C27)=0,"",SUM(B27:C27))</f>
        <v/>
      </c>
      <c r="U27" s="41">
        <f>IF(COUNT(D27:G27)=0,"",SUM(D27:G27))</f>
        <v/>
      </c>
      <c r="V27" s="41">
        <f>IF(COUNT(H27:K27)=0,"",SUM(H27:K27))</f>
        <v/>
      </c>
      <c r="W27" s="41">
        <f>IF(COUNT(L27:O27)=0,"",SUM(L27:O27))</f>
        <v/>
      </c>
      <c r="X27" s="41">
        <f>IF(COUNT(P27:Q27)=0,"",SUM(P27:Q27))</f>
        <v/>
      </c>
    </row>
    <row r="28">
      <c r="A28" s="2" t="inlineStr">
        <is>
          <t>北米</t>
        </is>
      </c>
      <c r="B28" s="2" t="n"/>
      <c r="C28" s="2" t="n"/>
      <c r="D28" s="2" t="n"/>
      <c r="E28" s="2" t="n"/>
      <c r="F28" s="2" t="n"/>
      <c r="G28" s="2" t="n"/>
      <c r="H28" s="2" t="n"/>
      <c r="I28" s="2" t="n"/>
      <c r="J28" s="2" t="n"/>
      <c r="K28" s="2" t="n"/>
      <c r="L28" s="2" t="n"/>
      <c r="M28" s="2" t="n"/>
      <c r="N28" s="2" t="n"/>
      <c r="O28" s="2" t="n"/>
      <c r="P28" s="2" t="n"/>
      <c r="Q28" s="2" t="n"/>
      <c r="R28" s="2" t="n"/>
      <c r="S28" s="2" t="n"/>
      <c r="T28" s="41">
        <f>IF(COUNT(B28:C28)=0,"",SUM(B28:C28))</f>
        <v/>
      </c>
      <c r="U28" s="41">
        <f>IF(COUNT(D28:G28)=0,"",SUM(D28:G28))</f>
        <v/>
      </c>
      <c r="V28" s="41">
        <f>IF(COUNT(H28:K28)=0,"",SUM(H28:K28))</f>
        <v/>
      </c>
      <c r="W28" s="41">
        <f>IF(COUNT(L28:O28)=0,"",SUM(L28:O28))</f>
        <v/>
      </c>
      <c r="X28" s="41">
        <f>IF(COUNT(P28:Q28)=0,"",SUM(P28:Q28))</f>
        <v/>
      </c>
    </row>
    <row r="29">
      <c r="A29" s="2" t="inlineStr">
        <is>
          <t>欧州</t>
        </is>
      </c>
      <c r="B29" s="2" t="n"/>
      <c r="C29" s="2" t="n"/>
      <c r="D29" s="2" t="n"/>
      <c r="E29" s="2" t="n"/>
      <c r="F29" s="2" t="n"/>
      <c r="G29" s="2" t="n"/>
      <c r="H29" s="2" t="n"/>
      <c r="I29" s="2" t="n"/>
      <c r="J29" s="2" t="n"/>
      <c r="K29" s="2" t="n"/>
      <c r="L29" s="2" t="n"/>
      <c r="M29" s="2" t="n"/>
      <c r="N29" s="2" t="n"/>
      <c r="O29" s="2" t="n"/>
      <c r="P29" s="2" t="n"/>
      <c r="Q29" s="2" t="n"/>
      <c r="R29" s="2" t="n"/>
      <c r="S29" s="2" t="n"/>
      <c r="T29" s="41">
        <f>IF(COUNT(B29:C29)=0,"",SUM(B29:C29))</f>
        <v/>
      </c>
      <c r="U29" s="41">
        <f>IF(COUNT(D29:G29)=0,"",SUM(D29:G29))</f>
        <v/>
      </c>
      <c r="V29" s="41">
        <f>IF(COUNT(H29:K29)=0,"",SUM(H29:K29))</f>
        <v/>
      </c>
      <c r="W29" s="41">
        <f>IF(COUNT(L29:O29)=0,"",SUM(L29:O29))</f>
        <v/>
      </c>
      <c r="X29" s="41">
        <f>IF(COUNT(P29:Q29)=0,"",SUM(P29:Q29))</f>
        <v/>
      </c>
    </row>
    <row r="30">
      <c r="A30" s="2" t="inlineStr">
        <is>
          <t>アジア</t>
        </is>
      </c>
      <c r="B30" s="2" t="n"/>
      <c r="C30" s="2" t="n"/>
      <c r="D30" s="2" t="n"/>
      <c r="E30" s="2" t="n"/>
      <c r="F30" s="2" t="n"/>
      <c r="G30" s="2" t="n"/>
      <c r="H30" s="2" t="n"/>
      <c r="I30" s="2" t="n"/>
      <c r="J30" s="2" t="n"/>
      <c r="K30" s="2" t="n"/>
      <c r="L30" s="2" t="n"/>
      <c r="M30" s="2" t="n"/>
      <c r="N30" s="2" t="n"/>
      <c r="O30" s="2" t="n"/>
      <c r="P30" s="2" t="n"/>
      <c r="Q30" s="2" t="n"/>
      <c r="R30" s="2" t="n"/>
      <c r="S30" s="2" t="n"/>
      <c r="T30" s="41">
        <f>IF(COUNT(B30:C30)=0,"",SUM(B30:C30))</f>
        <v/>
      </c>
      <c r="U30" s="41">
        <f>IF(COUNT(D30:G30)=0,"",SUM(D30:G30))</f>
        <v/>
      </c>
      <c r="V30" s="41">
        <f>IF(COUNT(H30:K30)=0,"",SUM(H30:K30))</f>
        <v/>
      </c>
      <c r="W30" s="41">
        <f>IF(COUNT(L30:O30)=0,"",SUM(L30:O30))</f>
        <v/>
      </c>
      <c r="X30" s="41">
        <f>IF(COUNT(P30:Q30)=0,"",SUM(P30:Q30))</f>
        <v/>
      </c>
    </row>
    <row r="31">
      <c r="A31" s="2" t="inlineStr">
        <is>
          <t>その他</t>
        </is>
      </c>
      <c r="B31" s="2" t="n"/>
      <c r="C31" s="2" t="n"/>
      <c r="D31" s="2" t="n"/>
      <c r="E31" s="2" t="n"/>
      <c r="F31" s="2" t="n"/>
      <c r="G31" s="2" t="n"/>
      <c r="H31" s="2" t="n"/>
      <c r="I31" s="2" t="n"/>
      <c r="J31" s="2" t="n"/>
      <c r="K31" s="2" t="n"/>
      <c r="L31" s="2" t="n"/>
      <c r="M31" s="2" t="n"/>
      <c r="N31" s="2" t="n"/>
      <c r="O31" s="2" t="n"/>
      <c r="P31" s="2" t="n"/>
      <c r="Q31" s="2" t="n"/>
      <c r="R31" s="2" t="n"/>
      <c r="S31" s="2" t="n"/>
      <c r="T31" s="41">
        <f>IF(COUNT(B31:C31)=0,"",SUM(B31:C31))</f>
        <v/>
      </c>
      <c r="U31" s="41">
        <f>IF(COUNT(D31:G31)=0,"",SUM(D31:G31))</f>
        <v/>
      </c>
      <c r="V31" s="41">
        <f>IF(COUNT(H31:K31)=0,"",SUM(H31:K31))</f>
        <v/>
      </c>
      <c r="W31" s="41">
        <f>IF(COUNT(L31:O31)=0,"",SUM(L31:O31))</f>
        <v/>
      </c>
      <c r="X31" s="41">
        <f>IF(COUNT(P31:Q31)=0,"",SUM(P31:Q31))</f>
        <v/>
      </c>
    </row>
    <row r="32">
      <c r="A32" s="3" t="inlineStr">
        <is>
          <t>TOTAL</t>
        </is>
      </c>
      <c r="B32" s="42">
        <f>SUM(B27:B31)</f>
        <v/>
      </c>
      <c r="C32" s="42">
        <f>SUM(C27:C31)</f>
        <v/>
      </c>
      <c r="D32" s="42">
        <f>SUM(D27:D31)</f>
        <v/>
      </c>
      <c r="E32" s="42">
        <f>SUM(E27:E31)</f>
        <v/>
      </c>
      <c r="F32" s="42">
        <f>SUM(F27:F31)</f>
        <v/>
      </c>
      <c r="G32" s="42">
        <f>SUM(G27:G31)</f>
        <v/>
      </c>
      <c r="H32" s="42">
        <f>SUM(H27:H31)</f>
        <v/>
      </c>
      <c r="I32" s="42">
        <f>SUM(I27:I31)</f>
        <v/>
      </c>
      <c r="J32" s="2" t="n"/>
      <c r="K32" s="2" t="n"/>
      <c r="L32" s="2" t="n"/>
      <c r="M32" s="2" t="n"/>
      <c r="N32" s="2" t="n"/>
      <c r="O32" s="2" t="n"/>
      <c r="P32" s="2" t="n"/>
      <c r="Q32" s="2" t="n"/>
      <c r="R32" s="2" t="n"/>
      <c r="S32" s="2" t="n"/>
      <c r="T32" s="43">
        <f>IF(COUNT(B32:C32)=0,"",SUM(B32:C32))</f>
        <v/>
      </c>
      <c r="U32" s="43">
        <f>IF(COUNT(D32:G32)=0,"",SUM(D32:G32))</f>
        <v/>
      </c>
      <c r="V32" s="43">
        <f>IF(COUNT(H32:K32)=0,"",SUM(H32:K32))</f>
        <v/>
      </c>
      <c r="W32" s="43">
        <f>IF(COUNT(L32:O32)=0,"",SUM(L32:O32))</f>
        <v/>
      </c>
      <c r="X32" s="43">
        <f>IF(COUNT(P32:Q32)=0,"",SUM(P32:Q32))</f>
        <v/>
      </c>
    </row>
    <row r="33">
      <c r="A33" s="2" t="n"/>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row>
    <row r="34">
      <c r="A34" s="2" t="n"/>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row>
    <row r="35">
      <c r="A35" s="36" t="inlineStr">
        <is>
          <t>6. Margin Assumptions (OP = Sales × per-Q consolidated OPM)</t>
        </is>
      </c>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row>
    <row r="36">
      <c r="A36" s="3" t="inlineStr">
        <is>
          <t>Per-Segment GPM (reference)</t>
        </is>
      </c>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row>
    <row r="37">
      <c r="A37" s="6" t="inlineStr">
        <is>
          <t>Segment</t>
        </is>
      </c>
      <c r="B37" s="6" t="inlineStr">
        <is>
          <t>GPM</t>
        </is>
      </c>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row>
    <row r="38">
      <c r="A38" s="2" t="inlineStr">
        <is>
          <t>Tires</t>
        </is>
      </c>
      <c r="B38" s="44" t="n">
        <v>0.31</v>
      </c>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row>
    <row r="39">
      <c r="A39" s="2" t="inlineStr">
        <is>
          <t>Sports</t>
        </is>
      </c>
      <c r="B39" s="44" t="n">
        <v>0.28</v>
      </c>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row>
    <row r="40">
      <c r="A40" s="2" t="inlineStr">
        <is>
          <t>IndustrialAndOtherProducts</t>
        </is>
      </c>
      <c r="B40" s="44" t="n">
        <v>0.26</v>
      </c>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row>
    <row r="41">
      <c r="A41" s="2" t="n"/>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row>
    <row r="42">
      <c r="A42" s="3" t="inlineStr">
        <is>
          <t>Consolidated SG&amp;A / Sales</t>
        </is>
      </c>
      <c r="B42" s="44" t="n">
        <v>0.24</v>
      </c>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row>
  </sheetData>
  <pageMargins left="0.75" right="0.75" top="1" bottom="1" header="0.5" footer="0.5"/>
</worksheet>
</file>

<file path=xl/worksheets/sheet3.xml><?xml version="1.0" encoding="utf-8"?>
<worksheet xmlns="http://schemas.openxmlformats.org/spreadsheetml/2006/main">
  <sheetPr>
    <tabColor rgb="001F3A5F"/>
    <outlinePr summaryBelow="1" summaryRight="1"/>
    <pageSetUpPr/>
  </sheetPr>
  <dimension ref="A1:AA10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6"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3" customWidth="1" min="20" max="20"/>
    <col width="13" customWidth="1" min="21" max="21"/>
    <col width="13" customWidth="1" min="22" max="22"/>
    <col width="13" customWidth="1" min="23" max="23"/>
    <col width="13" customWidth="1" min="24" max="24"/>
    <col width="13" customWidth="1" min="25" max="25"/>
    <col width="14" customWidth="1" min="26" max="26"/>
    <col width="48" customWidth="1" min="27" max="27"/>
  </cols>
  <sheetData>
    <row r="1">
      <c r="A1" s="45" t="inlineStr">
        <is>
          <t>P&amp;L (億円, EPS in JPY) — BLUE=actual/input, BLACK=formula, GREEN=cross-sheet, ORANGE=guide</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row>
    <row r="2">
      <c r="A2" s="2" t="n"/>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row>
    <row r="3">
      <c r="A3" s="6" t="inlineStr">
        <is>
          <t>Line Item</t>
        </is>
      </c>
      <c r="B3" s="37" t="inlineStr">
        <is>
          <t>FY24Q3</t>
        </is>
      </c>
      <c r="C3" s="37" t="inlineStr">
        <is>
          <t>FY24Q4</t>
        </is>
      </c>
      <c r="D3" s="37" t="inlineStr">
        <is>
          <t>FY25Q1</t>
        </is>
      </c>
      <c r="E3" s="37" t="inlineStr">
        <is>
          <t>FY25Q2</t>
        </is>
      </c>
      <c r="F3" s="37" t="inlineStr">
        <is>
          <t>FY25Q3</t>
        </is>
      </c>
      <c r="G3" s="37" t="inlineStr">
        <is>
          <t>FY25Q4</t>
        </is>
      </c>
      <c r="H3" s="37" t="inlineStr">
        <is>
          <t>FY26Q1</t>
        </is>
      </c>
      <c r="I3" s="37" t="inlineStr">
        <is>
          <t>FY26Q2</t>
        </is>
      </c>
      <c r="J3" s="38" t="inlineStr">
        <is>
          <t>FY26Q3</t>
        </is>
      </c>
      <c r="K3" s="38" t="inlineStr">
        <is>
          <t>FY26Q4</t>
        </is>
      </c>
      <c r="L3" s="38" t="inlineStr">
        <is>
          <t>FY27Q1</t>
        </is>
      </c>
      <c r="M3" s="38" t="inlineStr">
        <is>
          <t>FY27Q2</t>
        </is>
      </c>
      <c r="N3" s="38" t="inlineStr">
        <is>
          <t>FY27Q3</t>
        </is>
      </c>
      <c r="O3" s="38" t="inlineStr">
        <is>
          <t>FY27Q4</t>
        </is>
      </c>
      <c r="P3" s="38" t="inlineStr">
        <is>
          <t>FY28Q1</t>
        </is>
      </c>
      <c r="Q3" s="38" t="inlineStr">
        <is>
          <t>FY28Q2</t>
        </is>
      </c>
      <c r="R3" s="2" t="n"/>
      <c r="S3" s="2" t="n"/>
      <c r="T3" s="37" t="inlineStr">
        <is>
          <t>FY24</t>
        </is>
      </c>
      <c r="U3" s="37" t="inlineStr">
        <is>
          <t>FY25</t>
        </is>
      </c>
      <c r="V3" s="39" t="inlineStr">
        <is>
          <t>FY26</t>
        </is>
      </c>
      <c r="W3" s="39" t="inlineStr">
        <is>
          <t>FY27</t>
        </is>
      </c>
      <c r="X3" s="39" t="inlineStr">
        <is>
          <t>FY28</t>
        </is>
      </c>
      <c r="Y3" s="39" t="inlineStr">
        <is>
          <t>FY26 GUIDE</t>
        </is>
      </c>
      <c r="Z3" s="39" t="inlineStr">
        <is>
          <t>Model vs Guide</t>
        </is>
      </c>
      <c r="AA3" s="46" t="inlineStr">
        <is>
          <t>Forecast Formula (plain English)</t>
        </is>
      </c>
    </row>
    <row r="4">
      <c r="A4" s="3" t="inlineStr">
        <is>
          <t>Sales</t>
        </is>
      </c>
      <c r="B4" s="10" t="n">
        <v>2879</v>
      </c>
      <c r="C4" s="10" t="n">
        <v>3369.1</v>
      </c>
      <c r="D4" s="10" t="n">
        <v>2877.8</v>
      </c>
      <c r="E4" s="10" t="n">
        <v>2844.1</v>
      </c>
      <c r="F4" s="10" t="n">
        <v>2894.2</v>
      </c>
      <c r="G4" s="10" t="n">
        <v>3454.5</v>
      </c>
      <c r="H4" s="10" t="n">
        <v>3021.7</v>
      </c>
      <c r="I4" s="10" t="n">
        <v>3176.3</v>
      </c>
      <c r="J4" s="47">
        <f>I4*(1+AVERAGE(Drivers!J6:Drivers!J8)/100)</f>
        <v/>
      </c>
      <c r="K4" s="47">
        <f>J4*(1+AVERAGE(Drivers!K6:Drivers!K8)/100)</f>
        <v/>
      </c>
      <c r="L4" s="47">
        <f>K4*(1+AVERAGE(Drivers!L6:Drivers!L8)/100)</f>
        <v/>
      </c>
      <c r="M4" s="47">
        <f>L4*(1+AVERAGE(Drivers!M6:Drivers!M8)/100)</f>
        <v/>
      </c>
      <c r="N4" s="47">
        <f>M4*(1+AVERAGE(Drivers!N6:Drivers!N8)/100)</f>
        <v/>
      </c>
      <c r="O4" s="47">
        <f>N4*(1+AVERAGE(Drivers!O6:Drivers!O8)/100)</f>
        <v/>
      </c>
      <c r="P4" s="47">
        <f>O4*(1+AVERAGE(Drivers!P6:Drivers!P8)/100)</f>
        <v/>
      </c>
      <c r="Q4" s="47">
        <f>P4*(1+AVERAGE(Drivers!Q6:Drivers!Q8)/100)</f>
        <v/>
      </c>
      <c r="R4" s="2" t="n"/>
      <c r="S4" s="2" t="n"/>
      <c r="T4" s="43">
        <f>IF(COUNTBLANK(B4:C4)&gt;0,"",SUM(B4:C4))</f>
        <v/>
      </c>
      <c r="U4" s="43">
        <f>IF(COUNTBLANK(D4:G4)&gt;0,"",SUM(D4:G4))</f>
        <v/>
      </c>
      <c r="V4" s="43">
        <f>IF(COUNTBLANK(H4:K4)&gt;0,"",SUM(H4:K4))</f>
        <v/>
      </c>
      <c r="W4" s="43">
        <f>IF(COUNTBLANK(L4:O4)&gt;0,"",SUM(L4:O4))</f>
        <v/>
      </c>
      <c r="X4" s="43">
        <f>IF(COUNTBLANK(P4:Q4)&gt;0,"",SUM(P4:Q4))</f>
        <v/>
      </c>
      <c r="Y4" s="10" t="n">
        <v>13300</v>
      </c>
      <c r="Z4" s="48">
        <f>(J4+K4+L4+M4)/Y4-1</f>
        <v/>
      </c>
      <c r="AA4" s="49" t="inlineStr">
        <is>
          <t>prior Sales × QoQ growth  (mean of cfg.order_growth_qoq across segments)</t>
        </is>
      </c>
    </row>
    <row r="5">
      <c r="A5" s="3" t="inlineStr">
        <is>
          <t xml:space="preserve">  COGS</t>
        </is>
      </c>
      <c r="B5" s="50">
        <f>B4-B6</f>
        <v/>
      </c>
      <c r="C5" s="50">
        <f>C4-C6</f>
        <v/>
      </c>
      <c r="D5" s="50">
        <f>D4-D6</f>
        <v/>
      </c>
      <c r="E5" s="50">
        <f>E4-E6</f>
        <v/>
      </c>
      <c r="F5" s="50">
        <f>F4-F6</f>
        <v/>
      </c>
      <c r="G5" s="50">
        <f>G4-G6</f>
        <v/>
      </c>
      <c r="H5" s="50">
        <f>H4-H6</f>
        <v/>
      </c>
      <c r="I5" s="50">
        <f>I4-I6</f>
        <v/>
      </c>
      <c r="J5" s="41">
        <f>J4-J6</f>
        <v/>
      </c>
      <c r="K5" s="41">
        <f>K4-K6</f>
        <v/>
      </c>
      <c r="L5" s="41">
        <f>L4-L6</f>
        <v/>
      </c>
      <c r="M5" s="41">
        <f>M4-M6</f>
        <v/>
      </c>
      <c r="N5" s="41">
        <f>N4-N6</f>
        <v/>
      </c>
      <c r="O5" s="41">
        <f>O4-O6</f>
        <v/>
      </c>
      <c r="P5" s="41">
        <f>P4-P6</f>
        <v/>
      </c>
      <c r="Q5" s="41">
        <f>Q4-Q6</f>
        <v/>
      </c>
      <c r="R5" s="2" t="n"/>
      <c r="S5" s="2" t="n"/>
      <c r="T5" s="41">
        <f>IF(COUNTBLANK(B5:C5)&gt;0,"",SUM(B5:C5))</f>
        <v/>
      </c>
      <c r="U5" s="41">
        <f>IF(COUNTBLANK(D5:G5)&gt;0,"",SUM(D5:G5))</f>
        <v/>
      </c>
      <c r="V5" s="41">
        <f>IF(COUNTBLANK(H5:K5)&gt;0,"",SUM(H5:K5))</f>
        <v/>
      </c>
      <c r="W5" s="41">
        <f>IF(COUNTBLANK(L5:O5)&gt;0,"",SUM(L5:O5))</f>
        <v/>
      </c>
      <c r="X5" s="41">
        <f>IF(COUNTBLANK(P5:Q5)&gt;0,"",SUM(P5:Q5))</f>
        <v/>
      </c>
      <c r="Y5" s="2" t="n"/>
      <c r="Z5" s="2" t="n"/>
      <c r="AA5" s="49" t="inlineStr">
        <is>
          <t>Sales − Gross Profit</t>
        </is>
      </c>
    </row>
    <row r="6">
      <c r="A6" s="3" t="inlineStr">
        <is>
          <t xml:space="preserve">  Gross Profit</t>
        </is>
      </c>
      <c r="B6" s="10" t="n">
        <v>833.3</v>
      </c>
      <c r="C6" s="10" t="n">
        <v>982</v>
      </c>
      <c r="D6" s="10" t="n">
        <v>836.8</v>
      </c>
      <c r="E6" s="10" t="n">
        <v>825.5</v>
      </c>
      <c r="F6" s="10" t="n">
        <v>864.3</v>
      </c>
      <c r="G6" s="10" t="n">
        <v>1157</v>
      </c>
      <c r="H6" s="10" t="n">
        <v>936.3</v>
      </c>
      <c r="I6" s="10" t="n">
        <v>1005.6</v>
      </c>
      <c r="J6" s="41">
        <f>J9+J8</f>
        <v/>
      </c>
      <c r="K6" s="41">
        <f>K9+K8</f>
        <v/>
      </c>
      <c r="L6" s="41">
        <f>L9+L8</f>
        <v/>
      </c>
      <c r="M6" s="41">
        <f>M9+M8</f>
        <v/>
      </c>
      <c r="N6" s="41">
        <f>N9+N8</f>
        <v/>
      </c>
      <c r="O6" s="41">
        <f>O9+O8</f>
        <v/>
      </c>
      <c r="P6" s="41">
        <f>P9+P8</f>
        <v/>
      </c>
      <c r="Q6" s="41">
        <f>Q9+Q8</f>
        <v/>
      </c>
      <c r="R6" s="2" t="n"/>
      <c r="S6" s="2" t="n"/>
      <c r="T6" s="41">
        <f>IF(COUNTBLANK(B6:C6)&gt;0,"",SUM(B6:C6))</f>
        <v/>
      </c>
      <c r="U6" s="41">
        <f>IF(COUNTBLANK(D6:G6)&gt;0,"",SUM(D6:G6))</f>
        <v/>
      </c>
      <c r="V6" s="41">
        <f>IF(COUNTBLANK(H6:K6)&gt;0,"",SUM(H6:K6))</f>
        <v/>
      </c>
      <c r="W6" s="41">
        <f>IF(COUNTBLANK(L6:O6)&gt;0,"",SUM(L6:O6))</f>
        <v/>
      </c>
      <c r="X6" s="41">
        <f>IF(COUNTBLANK(P6:Q6)&gt;0,"",SUM(P6:Q6))</f>
        <v/>
      </c>
      <c r="Y6" s="2" t="n"/>
      <c r="Z6" s="2" t="n"/>
      <c r="AA6" s="49" t="inlineStr">
        <is>
          <t>OP + SG&amp;A  (OPM-driven: GP is derived, not an input)</t>
        </is>
      </c>
    </row>
    <row r="7">
      <c r="A7" s="2" t="inlineStr">
        <is>
          <t xml:space="preserve">    GPM %</t>
        </is>
      </c>
      <c r="B7" s="12">
        <f>B6/B4*100</f>
        <v/>
      </c>
      <c r="C7" s="12">
        <f>C6/C4*100</f>
        <v/>
      </c>
      <c r="D7" s="12">
        <f>D6/D4*100</f>
        <v/>
      </c>
      <c r="E7" s="12">
        <f>E6/E4*100</f>
        <v/>
      </c>
      <c r="F7" s="12">
        <f>F6/F4*100</f>
        <v/>
      </c>
      <c r="G7" s="12">
        <f>G6/G4*100</f>
        <v/>
      </c>
      <c r="H7" s="12">
        <f>H6/H4*100</f>
        <v/>
      </c>
      <c r="I7" s="12">
        <f>I6/I4*100</f>
        <v/>
      </c>
      <c r="J7" s="12">
        <f>J6/J4*100</f>
        <v/>
      </c>
      <c r="K7" s="12">
        <f>K6/K4*100</f>
        <v/>
      </c>
      <c r="L7" s="12">
        <f>L6/L4*100</f>
        <v/>
      </c>
      <c r="M7" s="12">
        <f>M6/M4*100</f>
        <v/>
      </c>
      <c r="N7" s="12">
        <f>N6/N4*100</f>
        <v/>
      </c>
      <c r="O7" s="12">
        <f>O6/O4*100</f>
        <v/>
      </c>
      <c r="P7" s="12">
        <f>P6/P4*100</f>
        <v/>
      </c>
      <c r="Q7" s="12">
        <f>Q6/Q4*100</f>
        <v/>
      </c>
      <c r="R7" s="2" t="n"/>
      <c r="S7" s="2" t="n"/>
      <c r="T7" s="51">
        <f>IF(OR(COUNTBLANK(B6:C6)&gt;0,COUNTBLANK(B4:C4)&gt;0),"",SUM(B6:C6)/SUM(B4:C4)*100)</f>
        <v/>
      </c>
      <c r="U7" s="51">
        <f>IF(OR(COUNTBLANK(D6:G6)&gt;0,COUNTBLANK(D4:G4)&gt;0),"",SUM(D6:G6)/SUM(D4:G4)*100)</f>
        <v/>
      </c>
      <c r="V7" s="51">
        <f>IF(OR(COUNTBLANK(H6:K6)&gt;0,COUNTBLANK(H4:K4)&gt;0),"",SUM(H6:K6)/SUM(H4:K4)*100)</f>
        <v/>
      </c>
      <c r="W7" s="51">
        <f>IF(OR(COUNTBLANK(L6:O6)&gt;0,COUNTBLANK(L4:O4)&gt;0),"",SUM(L6:O6)/SUM(L4:O4)*100)</f>
        <v/>
      </c>
      <c r="X7" s="51">
        <f>IF(OR(COUNTBLANK(P6:Q6)&gt;0,COUNTBLANK(P4:Q4)&gt;0),"",SUM(P6:Q6)/SUM(P4:Q4)*100)</f>
        <v/>
      </c>
      <c r="Y7" s="2" t="n"/>
      <c r="Z7" s="2" t="n"/>
      <c r="AA7" s="49" t="inlineStr">
        <is>
          <t>Gross Profit ÷ Sales</t>
        </is>
      </c>
    </row>
    <row r="8">
      <c r="A8" s="3" t="inlineStr">
        <is>
          <t xml:space="preserve">  SG&amp;A</t>
        </is>
      </c>
      <c r="B8" s="50">
        <f>B6-B9</f>
        <v/>
      </c>
      <c r="C8" s="50">
        <f>C6-C9</f>
        <v/>
      </c>
      <c r="D8" s="50">
        <f>D6-D9</f>
        <v/>
      </c>
      <c r="E8" s="50">
        <f>E6-E9</f>
        <v/>
      </c>
      <c r="F8" s="50">
        <f>F6-F9</f>
        <v/>
      </c>
      <c r="G8" s="50">
        <f>G6-G9</f>
        <v/>
      </c>
      <c r="H8" s="50">
        <f>H6-H9</f>
        <v/>
      </c>
      <c r="I8" s="50">
        <f>I6-I9</f>
        <v/>
      </c>
      <c r="J8" s="41">
        <f>J4*0.24</f>
        <v/>
      </c>
      <c r="K8" s="41">
        <f>K4*0.24</f>
        <v/>
      </c>
      <c r="L8" s="41">
        <f>L4*0.24</f>
        <v/>
      </c>
      <c r="M8" s="41">
        <f>M4*0.24</f>
        <v/>
      </c>
      <c r="N8" s="41">
        <f>N4*0.24</f>
        <v/>
      </c>
      <c r="O8" s="41">
        <f>O4*0.24</f>
        <v/>
      </c>
      <c r="P8" s="41">
        <f>P4*0.24</f>
        <v/>
      </c>
      <c r="Q8" s="41">
        <f>Q4*0.24</f>
        <v/>
      </c>
      <c r="R8" s="2" t="n"/>
      <c r="S8" s="2" t="n"/>
      <c r="T8" s="41">
        <f>IF(COUNTBLANK(B8:C8)&gt;0,"",SUM(B8:C8))</f>
        <v/>
      </c>
      <c r="U8" s="41">
        <f>IF(COUNTBLANK(D8:G8)&gt;0,"",SUM(D8:G8))</f>
        <v/>
      </c>
      <c r="V8" s="41">
        <f>IF(COUNTBLANK(H8:K8)&gt;0,"",SUM(H8:K8))</f>
        <v/>
      </c>
      <c r="W8" s="41">
        <f>IF(COUNTBLANK(L8:O8)&gt;0,"",SUM(L8:O8))</f>
        <v/>
      </c>
      <c r="X8" s="41">
        <f>IF(COUNTBLANK(P8:Q8)&gt;0,"",SUM(P8:Q8))</f>
        <v/>
      </c>
      <c r="Y8" s="2" t="n"/>
      <c r="Z8" s="2" t="n"/>
      <c r="AA8" s="49" t="inlineStr">
        <is>
          <t>Sales × 24.0%  (yaml override (recent run-rate))</t>
        </is>
      </c>
    </row>
    <row r="9">
      <c r="A9" s="3" t="inlineStr">
        <is>
          <t>Operating Profit</t>
        </is>
      </c>
      <c r="B9" s="10" t="n">
        <v>-304.7</v>
      </c>
      <c r="C9" s="10" t="n">
        <v>-3</v>
      </c>
      <c r="D9" s="10" t="n">
        <v>123.2</v>
      </c>
      <c r="E9" s="10" t="n">
        <v>147.2</v>
      </c>
      <c r="F9" s="10" t="n">
        <v>191</v>
      </c>
      <c r="G9" s="10" t="n">
        <v>364.5</v>
      </c>
      <c r="H9" s="10" t="n">
        <v>150.7</v>
      </c>
      <c r="I9" s="10" t="n">
        <v>230.8</v>
      </c>
      <c r="J9" s="52">
        <f>J4*Drivers!J10/100</f>
        <v/>
      </c>
      <c r="K9" s="52">
        <f>K4*Drivers!K10/100</f>
        <v/>
      </c>
      <c r="L9" s="52">
        <f>L4*Drivers!L10/100</f>
        <v/>
      </c>
      <c r="M9" s="52">
        <f>M4*Drivers!M10/100</f>
        <v/>
      </c>
      <c r="N9" s="52">
        <f>N4*Drivers!N10/100</f>
        <v/>
      </c>
      <c r="O9" s="52">
        <f>O4*Drivers!O10/100</f>
        <v/>
      </c>
      <c r="P9" s="52">
        <f>P4*Drivers!P10/100</f>
        <v/>
      </c>
      <c r="Q9" s="52">
        <f>Q4*Drivers!Q10/100</f>
        <v/>
      </c>
      <c r="R9" s="2" t="n"/>
      <c r="S9" s="2" t="n"/>
      <c r="T9" s="43">
        <f>IF(COUNTBLANK(B9:C9)&gt;0,"",SUM(B9:C9))</f>
        <v/>
      </c>
      <c r="U9" s="43">
        <f>IF(COUNTBLANK(D9:G9)&gt;0,"",SUM(D9:G9))</f>
        <v/>
      </c>
      <c r="V9" s="43">
        <f>IF(COUNTBLANK(H9:K9)&gt;0,"",SUM(H9:K9))</f>
        <v/>
      </c>
      <c r="W9" s="43">
        <f>IF(COUNTBLANK(L9:O9)&gt;0,"",SUM(L9:O9))</f>
        <v/>
      </c>
      <c r="X9" s="43">
        <f>IF(COUNTBLANK(P9:Q9)&gt;0,"",SUM(P9:Q9))</f>
        <v/>
      </c>
      <c r="Y9" s="10" t="n">
        <v>890</v>
      </c>
      <c r="Z9" s="48">
        <f>(J9+K9+L9+M9)/Y9-1</f>
        <v/>
      </c>
      <c r="AA9" s="49" t="inlineStr">
        <is>
          <t>Sales × per-Q consolidated OPM (Drivers)</t>
        </is>
      </c>
    </row>
    <row r="10">
      <c r="A10" s="2" t="inlineStr">
        <is>
          <t xml:space="preserve">  OPM %</t>
        </is>
      </c>
      <c r="B10" s="12">
        <f>B9/B4*100</f>
        <v/>
      </c>
      <c r="C10" s="12">
        <f>C9/C4*100</f>
        <v/>
      </c>
      <c r="D10" s="12">
        <f>D9/D4*100</f>
        <v/>
      </c>
      <c r="E10" s="12">
        <f>E9/E4*100</f>
        <v/>
      </c>
      <c r="F10" s="12">
        <f>F9/F4*100</f>
        <v/>
      </c>
      <c r="G10" s="12">
        <f>G9/G4*100</f>
        <v/>
      </c>
      <c r="H10" s="12">
        <f>H9/H4*100</f>
        <v/>
      </c>
      <c r="I10" s="12">
        <f>I9/I4*100</f>
        <v/>
      </c>
      <c r="J10" s="12">
        <f>J9/J4*100</f>
        <v/>
      </c>
      <c r="K10" s="12">
        <f>K9/K4*100</f>
        <v/>
      </c>
      <c r="L10" s="12">
        <f>L9/L4*100</f>
        <v/>
      </c>
      <c r="M10" s="12">
        <f>M9/M4*100</f>
        <v/>
      </c>
      <c r="N10" s="12">
        <f>N9/N4*100</f>
        <v/>
      </c>
      <c r="O10" s="12">
        <f>O9/O4*100</f>
        <v/>
      </c>
      <c r="P10" s="12">
        <f>P9/P4*100</f>
        <v/>
      </c>
      <c r="Q10" s="12">
        <f>Q9/Q4*100</f>
        <v/>
      </c>
      <c r="R10" s="2" t="n"/>
      <c r="S10" s="2" t="n"/>
      <c r="T10" s="51">
        <f>IF(OR(COUNTBLANK(B9:C9)&gt;0,COUNTBLANK(B4:C4)&gt;0),"",SUM(B9:C9)/SUM(B4:C4)*100)</f>
        <v/>
      </c>
      <c r="U10" s="51">
        <f>IF(OR(COUNTBLANK(D9:G9)&gt;0,COUNTBLANK(D4:G4)&gt;0),"",SUM(D9:G9)/SUM(D4:G4)*100)</f>
        <v/>
      </c>
      <c r="V10" s="51">
        <f>IF(OR(COUNTBLANK(H9:K9)&gt;0,COUNTBLANK(H4:K4)&gt;0),"",SUM(H9:K9)/SUM(H4:K4)*100)</f>
        <v/>
      </c>
      <c r="W10" s="51">
        <f>IF(OR(COUNTBLANK(L9:O9)&gt;0,COUNTBLANK(L4:O4)&gt;0),"",SUM(L9:O9)/SUM(L4:O4)*100)</f>
        <v/>
      </c>
      <c r="X10" s="51">
        <f>IF(OR(COUNTBLANK(P9:Q9)&gt;0,COUNTBLANK(P4:Q4)&gt;0),"",SUM(P9:Q9)/SUM(P4:Q4)*100)</f>
        <v/>
      </c>
      <c r="Y10" s="33" t="n">
        <v>6.7</v>
      </c>
      <c r="Z10" s="12">
        <f>(J9+K9+L9+M9)/(J4+K4+L4+M4)*100-Y10</f>
        <v/>
      </c>
      <c r="AA10" s="49" t="inlineStr">
        <is>
          <t>OP ÷ Sales</t>
        </is>
      </c>
    </row>
    <row r="11">
      <c r="A11" s="3" t="inlineStr">
        <is>
          <t xml:space="preserve">  ± Non-Op / 特別 (net)</t>
        </is>
      </c>
      <c r="B11" s="50">
        <f>B12-B9</f>
        <v/>
      </c>
      <c r="C11" s="50">
        <f>C12-C9</f>
        <v/>
      </c>
      <c r="D11" s="50">
        <f>D12-D9</f>
        <v/>
      </c>
      <c r="E11" s="50">
        <f>E12-E9</f>
        <v/>
      </c>
      <c r="F11" s="50">
        <f>F12-F9</f>
        <v/>
      </c>
      <c r="G11" s="50">
        <f>G12-G9</f>
        <v/>
      </c>
      <c r="H11" s="50">
        <f>H12-H9</f>
        <v/>
      </c>
      <c r="I11" s="50">
        <f>I12-I9</f>
        <v/>
      </c>
      <c r="J11" s="47">
        <f>J9*FS!$B$86/100</f>
        <v/>
      </c>
      <c r="K11" s="47">
        <f>K9*FS!$B$86/100</f>
        <v/>
      </c>
      <c r="L11" s="47">
        <f>L9*FS!$B$86/100</f>
        <v/>
      </c>
      <c r="M11" s="47">
        <f>M9*FS!$B$86/100</f>
        <v/>
      </c>
      <c r="N11" s="47">
        <f>N9*FS!$B$86/100</f>
        <v/>
      </c>
      <c r="O11" s="47">
        <f>O9*FS!$B$86/100</f>
        <v/>
      </c>
      <c r="P11" s="47">
        <f>P9*FS!$B$86/100</f>
        <v/>
      </c>
      <c r="Q11" s="47">
        <f>Q9*FS!$B$86/100</f>
        <v/>
      </c>
      <c r="R11" s="2" t="n"/>
      <c r="S11" s="2" t="n"/>
      <c r="T11" s="41">
        <f>IF(COUNTBLANK(B11:C11)&gt;0,"",SUM(B11:C11))</f>
        <v/>
      </c>
      <c r="U11" s="41">
        <f>IF(COUNTBLANK(D11:G11)&gt;0,"",SUM(D11:G11))</f>
        <v/>
      </c>
      <c r="V11" s="41">
        <f>IF(COUNTBLANK(H11:K11)&gt;0,"",SUM(H11:K11))</f>
        <v/>
      </c>
      <c r="W11" s="41">
        <f>IF(COUNTBLANK(L11:O11)&gt;0,"",SUM(L11:O11))</f>
        <v/>
      </c>
      <c r="X11" s="41">
        <f>IF(COUNTBLANK(P11:Q11)&gt;0,"",SUM(P11:Q11))</f>
        <v/>
      </c>
      <c r="Y11" s="2" t="n"/>
      <c r="Z11" s="2" t="n"/>
      <c r="AA11" s="49" t="inlineStr">
        <is>
          <t>Hist: Pretax−OP (実際 金融/持分法/特別); Fcst: OP × -4.3%</t>
        </is>
      </c>
    </row>
    <row r="12">
      <c r="A12" s="3" t="inlineStr">
        <is>
          <t>Pretax Profit (税前)</t>
        </is>
      </c>
      <c r="B12" s="10" t="n">
        <v>-459.1</v>
      </c>
      <c r="C12" s="10" t="n">
        <v>85.7</v>
      </c>
      <c r="D12" s="10" t="n">
        <v>39.6</v>
      </c>
      <c r="E12" s="10" t="n">
        <v>161.2</v>
      </c>
      <c r="F12" s="10" t="n">
        <v>204</v>
      </c>
      <c r="G12" s="10" t="n">
        <v>373.2</v>
      </c>
      <c r="H12" s="10" t="n">
        <v>146.7</v>
      </c>
      <c r="I12" s="10" t="n">
        <v>230.8</v>
      </c>
      <c r="J12" s="43">
        <f>J9+J11</f>
        <v/>
      </c>
      <c r="K12" s="43">
        <f>K9+K11</f>
        <v/>
      </c>
      <c r="L12" s="43">
        <f>L9+L11</f>
        <v/>
      </c>
      <c r="M12" s="43">
        <f>M9+M11</f>
        <v/>
      </c>
      <c r="N12" s="43">
        <f>N9+N11</f>
        <v/>
      </c>
      <c r="O12" s="43">
        <f>O9+O11</f>
        <v/>
      </c>
      <c r="P12" s="43">
        <f>P9+P11</f>
        <v/>
      </c>
      <c r="Q12" s="43">
        <f>Q9+Q11</f>
        <v/>
      </c>
      <c r="R12" s="2" t="n"/>
      <c r="S12" s="2" t="n"/>
      <c r="T12" s="43">
        <f>IF(COUNTBLANK(B12:C12)&gt;0,"",SUM(B12:C12))</f>
        <v/>
      </c>
      <c r="U12" s="43">
        <f>IF(COUNTBLANK(D12:G12)&gt;0,"",SUM(D12:G12))</f>
        <v/>
      </c>
      <c r="V12" s="43">
        <f>IF(COUNTBLANK(H12:K12)&gt;0,"",SUM(H12:K12))</f>
        <v/>
      </c>
      <c r="W12" s="43">
        <f>IF(COUNTBLANK(L12:O12)&gt;0,"",SUM(L12:O12))</f>
        <v/>
      </c>
      <c r="X12" s="43">
        <f>IF(COUNTBLANK(P12:Q12)&gt;0,"",SUM(P12:Q12))</f>
        <v/>
      </c>
      <c r="Y12" s="2" t="n"/>
      <c r="Z12" s="2" t="n"/>
      <c r="AA12" s="49" t="inlineStr">
        <is>
          <t>Pretax (税前): Hist=disclosed actual; Fcst=OP + Non-Op</t>
        </is>
      </c>
    </row>
    <row r="13">
      <c r="A13" s="2" t="inlineStr">
        <is>
          <t xml:space="preserve">  Pretax M %</t>
        </is>
      </c>
      <c r="B13" s="12">
        <f>B12/B4*100</f>
        <v/>
      </c>
      <c r="C13" s="12">
        <f>C12/C4*100</f>
        <v/>
      </c>
      <c r="D13" s="12">
        <f>D12/D4*100</f>
        <v/>
      </c>
      <c r="E13" s="12">
        <f>E12/E4*100</f>
        <v/>
      </c>
      <c r="F13" s="12">
        <f>F12/F4*100</f>
        <v/>
      </c>
      <c r="G13" s="12">
        <f>G12/G4*100</f>
        <v/>
      </c>
      <c r="H13" s="12">
        <f>H12/H4*100</f>
        <v/>
      </c>
      <c r="I13" s="12">
        <f>I12/I4*100</f>
        <v/>
      </c>
      <c r="J13" s="12">
        <f>J12/J4*100</f>
        <v/>
      </c>
      <c r="K13" s="12">
        <f>K12/K4*100</f>
        <v/>
      </c>
      <c r="L13" s="12">
        <f>L12/L4*100</f>
        <v/>
      </c>
      <c r="M13" s="12">
        <f>M12/M4*100</f>
        <v/>
      </c>
      <c r="N13" s="12">
        <f>N12/N4*100</f>
        <v/>
      </c>
      <c r="O13" s="12">
        <f>O12/O4*100</f>
        <v/>
      </c>
      <c r="P13" s="12">
        <f>P12/P4*100</f>
        <v/>
      </c>
      <c r="Q13" s="12">
        <f>Q12/Q4*100</f>
        <v/>
      </c>
      <c r="R13" s="2" t="n"/>
      <c r="S13" s="2" t="n"/>
      <c r="T13" s="51">
        <f>IF(OR(COUNTBLANK(B12:C12)&gt;0,COUNTBLANK(B4:C4)&gt;0),"",SUM(B12:C12)/SUM(B4:C4)*100)</f>
        <v/>
      </c>
      <c r="U13" s="51">
        <f>IF(OR(COUNTBLANK(D12:G12)&gt;0,COUNTBLANK(D4:G4)&gt;0),"",SUM(D12:G12)/SUM(D4:G4)*100)</f>
        <v/>
      </c>
      <c r="V13" s="51">
        <f>IF(OR(COUNTBLANK(H12:K12)&gt;0,COUNTBLANK(H4:K4)&gt;0),"",SUM(H12:K12)/SUM(H4:K4)*100)</f>
        <v/>
      </c>
      <c r="W13" s="51">
        <f>IF(OR(COUNTBLANK(L12:O12)&gt;0,COUNTBLANK(L4:O4)&gt;0),"",SUM(L12:O12)/SUM(L4:O4)*100)</f>
        <v/>
      </c>
      <c r="X13" s="51">
        <f>IF(OR(COUNTBLANK(P12:Q12)&gt;0,COUNTBLANK(P4:Q4)&gt;0),"",SUM(P12:Q12)/SUM(P4:Q4)*100)</f>
        <v/>
      </c>
      <c r="Y13" s="2" t="n"/>
      <c r="Z13" s="2" t="n"/>
      <c r="AA13" s="49" t="inlineStr">
        <is>
          <t>Pretax ÷ Sales</t>
        </is>
      </c>
    </row>
    <row r="14">
      <c r="A14" s="3" t="inlineStr">
        <is>
          <t xml:space="preserve">  − Income Tax</t>
        </is>
      </c>
      <c r="B14" s="10" t="n">
        <v>-114.2</v>
      </c>
      <c r="C14" s="10" t="n">
        <v>22.8</v>
      </c>
      <c r="D14" s="10" t="n">
        <v>7.7</v>
      </c>
      <c r="E14" s="10" t="n">
        <v>36.5</v>
      </c>
      <c r="F14" s="10" t="n">
        <v>77.7</v>
      </c>
      <c r="G14" s="10" t="n">
        <v>129</v>
      </c>
      <c r="H14" s="10" t="n">
        <v>51</v>
      </c>
      <c r="I14" s="10" t="n">
        <v>50.2</v>
      </c>
      <c r="J14" s="47">
        <f>J12*FS!$B$85/100</f>
        <v/>
      </c>
      <c r="K14" s="47">
        <f>K12*FS!$B$85/100</f>
        <v/>
      </c>
      <c r="L14" s="47">
        <f>L12*FS!$B$85/100</f>
        <v/>
      </c>
      <c r="M14" s="47">
        <f>M12*FS!$B$85/100</f>
        <v/>
      </c>
      <c r="N14" s="47">
        <f>N12*FS!$B$85/100</f>
        <v/>
      </c>
      <c r="O14" s="47">
        <f>O12*FS!$B$85/100</f>
        <v/>
      </c>
      <c r="P14" s="47">
        <f>P12*FS!$B$85/100</f>
        <v/>
      </c>
      <c r="Q14" s="47">
        <f>Q12*FS!$B$85/100</f>
        <v/>
      </c>
      <c r="R14" s="2" t="n"/>
      <c r="S14" s="2" t="n"/>
      <c r="T14" s="41">
        <f>IF(COUNTBLANK(B14:C14)&gt;0,"",SUM(B14:C14))</f>
        <v/>
      </c>
      <c r="U14" s="41">
        <f>IF(COUNTBLANK(D14:G14)&gt;0,"",SUM(D14:G14))</f>
        <v/>
      </c>
      <c r="V14" s="41">
        <f>IF(COUNTBLANK(H14:K14)&gt;0,"",SUM(H14:K14))</f>
        <v/>
      </c>
      <c r="W14" s="41">
        <f>IF(COUNTBLANK(L14:O14)&gt;0,"",SUM(L14:O14))</f>
        <v/>
      </c>
      <c r="X14" s="41">
        <f>IF(COUNTBLANK(P14:Q14)&gt;0,"",SUM(P14:Q14))</f>
        <v/>
      </c>
      <c r="Y14" s="2" t="n"/>
      <c r="Z14" s="2" t="n"/>
      <c r="AA14" s="49" t="inlineStr">
        <is>
          <t>Hist: actual 法人税等; Fcst: Pretax × 31.2% (auto)</t>
        </is>
      </c>
    </row>
    <row r="15">
      <c r="A15" s="2" t="inlineStr">
        <is>
          <t xml:space="preserve">    Tax rate %</t>
        </is>
      </c>
      <c r="B15" s="12">
        <f>IF(B12=0,"",B14/B12*100)</f>
        <v/>
      </c>
      <c r="C15" s="12">
        <f>IF(C12=0,"",C14/C12*100)</f>
        <v/>
      </c>
      <c r="D15" s="12">
        <f>IF(D12=0,"",D14/D12*100)</f>
        <v/>
      </c>
      <c r="E15" s="12">
        <f>IF(E12=0,"",E14/E12*100)</f>
        <v/>
      </c>
      <c r="F15" s="12">
        <f>IF(F12=0,"",F14/F12*100)</f>
        <v/>
      </c>
      <c r="G15" s="12">
        <f>IF(G12=0,"",G14/G12*100)</f>
        <v/>
      </c>
      <c r="H15" s="12">
        <f>IF(H12=0,"",H14/H12*100)</f>
        <v/>
      </c>
      <c r="I15" s="12">
        <f>IF(I12=0,"",I14/I12*100)</f>
        <v/>
      </c>
      <c r="J15" s="53">
        <f>FS!$B$85</f>
        <v/>
      </c>
      <c r="K15" s="53">
        <f>FS!$B$85</f>
        <v/>
      </c>
      <c r="L15" s="53">
        <f>FS!$B$85</f>
        <v/>
      </c>
      <c r="M15" s="53">
        <f>FS!$B$85</f>
        <v/>
      </c>
      <c r="N15" s="53">
        <f>FS!$B$85</f>
        <v/>
      </c>
      <c r="O15" s="53">
        <f>FS!$B$85</f>
        <v/>
      </c>
      <c r="P15" s="53">
        <f>FS!$B$85</f>
        <v/>
      </c>
      <c r="Q15" s="53">
        <f>FS!$B$85</f>
        <v/>
      </c>
      <c r="R15" s="2" t="n"/>
      <c r="S15" s="2" t="n"/>
      <c r="T15" s="51">
        <f>IF(OR(COUNTBLANK(B14:C14)&gt;0,COUNTBLANK(B12:C12)&gt;0),"",SUM(B14:C14)/SUM(B12:C12)*100)</f>
        <v/>
      </c>
      <c r="U15" s="51">
        <f>IF(OR(COUNTBLANK(D14:G14)&gt;0,COUNTBLANK(D12:G12)&gt;0),"",SUM(D14:G14)/SUM(D12:G12)*100)</f>
        <v/>
      </c>
      <c r="V15" s="51">
        <f>IF(OR(COUNTBLANK(H14:K14)&gt;0,COUNTBLANK(H12:K12)&gt;0),"",SUM(H14:K14)/SUM(H12:K12)*100)</f>
        <v/>
      </c>
      <c r="W15" s="51">
        <f>IF(OR(COUNTBLANK(L14:O14)&gt;0,COUNTBLANK(L12:O12)&gt;0),"",SUM(L14:O14)/SUM(L12:O12)*100)</f>
        <v/>
      </c>
      <c r="X15" s="51">
        <f>IF(OR(COUNTBLANK(P14:Q14)&gt;0,COUNTBLANK(P12:Q12)&gt;0),"",SUM(P14:Q14)/SUM(P12:Q12)*100)</f>
        <v/>
      </c>
      <c r="Y15" s="2" t="n"/>
      <c r="Z15" s="2" t="n"/>
      <c r="AA15" s="49" t="inlineStr">
        <is>
          <t>Hist: Income Tax ÷ Pretax (実効税率); Fcst: flat 31.2% assumption (Summary)</t>
        </is>
      </c>
    </row>
    <row r="16">
      <c r="A16" s="3" t="inlineStr">
        <is>
          <t xml:space="preserve">  − Minority Int. (NCI)</t>
        </is>
      </c>
      <c r="B16" s="50">
        <f>B12-B14-B18</f>
        <v/>
      </c>
      <c r="C16" s="50">
        <f>C12-C14-C18</f>
        <v/>
      </c>
      <c r="D16" s="50">
        <f>D12-D14-D18</f>
        <v/>
      </c>
      <c r="E16" s="50">
        <f>E12-E14-E18</f>
        <v/>
      </c>
      <c r="F16" s="50">
        <f>F12-F14-F18</f>
        <v/>
      </c>
      <c r="G16" s="50">
        <f>G12-G14-G18</f>
        <v/>
      </c>
      <c r="H16" s="50">
        <f>H12-H14-H18</f>
        <v/>
      </c>
      <c r="I16" s="50">
        <f>I12-I14-I18</f>
        <v/>
      </c>
      <c r="J16" s="47">
        <f>J12*FS!$B$101/100</f>
        <v/>
      </c>
      <c r="K16" s="47">
        <f>K12*FS!$B$101/100</f>
        <v/>
      </c>
      <c r="L16" s="47">
        <f>L12*FS!$B$101/100</f>
        <v/>
      </c>
      <c r="M16" s="47">
        <f>M12*FS!$B$101/100</f>
        <v/>
      </c>
      <c r="N16" s="47">
        <f>N12*FS!$B$101/100</f>
        <v/>
      </c>
      <c r="O16" s="47">
        <f>O12*FS!$B$101/100</f>
        <v/>
      </c>
      <c r="P16" s="47">
        <f>P12*FS!$B$101/100</f>
        <v/>
      </c>
      <c r="Q16" s="47">
        <f>Q12*FS!$B$101/100</f>
        <v/>
      </c>
      <c r="R16" s="2" t="n"/>
      <c r="S16" s="2" t="n"/>
      <c r="T16" s="41">
        <f>IF(COUNTBLANK(B16:C16)&gt;0,"",SUM(B16:C16))</f>
        <v/>
      </c>
      <c r="U16" s="41">
        <f>IF(COUNTBLANK(D16:G16)&gt;0,"",SUM(D16:G16))</f>
        <v/>
      </c>
      <c r="V16" s="41">
        <f>IF(COUNTBLANK(H16:K16)&gt;0,"",SUM(H16:K16))</f>
        <v/>
      </c>
      <c r="W16" s="41">
        <f>IF(COUNTBLANK(L16:O16)&gt;0,"",SUM(L16:O16))</f>
        <v/>
      </c>
      <c r="X16" s="41">
        <f>IF(COUNTBLANK(P16:Q16)&gt;0,"",SUM(P16:Q16))</f>
        <v/>
      </c>
      <c r="Y16" s="2" t="n"/>
      <c r="Z16" s="2" t="n"/>
      <c r="AA16" s="49" t="inlineStr">
        <is>
          <t>Hist: Pretax−Tax−NP; Fcst: Pretax × 3.7%</t>
        </is>
      </c>
    </row>
    <row r="17">
      <c r="A17" s="2" t="n"/>
      <c r="B17" s="2" t="n"/>
      <c r="C17" s="2" t="n"/>
      <c r="D17" s="2" t="n"/>
      <c r="E17" s="2" t="n"/>
      <c r="F17" s="2" t="n"/>
      <c r="G17" s="2" t="n"/>
      <c r="H17" s="2" t="n"/>
      <c r="I17" s="2" t="n"/>
      <c r="J17" s="2" t="n"/>
      <c r="K17" s="2" t="n"/>
      <c r="L17" s="2" t="n"/>
      <c r="M17" s="2" t="n"/>
      <c r="N17" s="2" t="n"/>
      <c r="O17" s="2" t="n"/>
      <c r="P17" s="2" t="n"/>
      <c r="Q17" s="2" t="n"/>
      <c r="R17" s="2" t="n"/>
      <c r="S17" s="2" t="n"/>
      <c r="T17" s="2" t="n"/>
      <c r="U17" s="2" t="n"/>
      <c r="V17" s="2" t="n"/>
      <c r="W17" s="2" t="n"/>
      <c r="X17" s="2" t="n"/>
      <c r="Y17" s="2" t="n"/>
      <c r="Z17" s="2" t="n"/>
      <c r="AA17" s="2" t="n"/>
    </row>
    <row r="18">
      <c r="A18" s="3" t="inlineStr">
        <is>
          <t>Net Income</t>
        </is>
      </c>
      <c r="B18" s="10" t="n">
        <v>-346.8</v>
      </c>
      <c r="C18" s="10" t="n">
        <v>58.2</v>
      </c>
      <c r="D18" s="10" t="n">
        <v>35.6</v>
      </c>
      <c r="E18" s="10" t="n">
        <v>108.1</v>
      </c>
      <c r="F18" s="10" t="n">
        <v>116.4</v>
      </c>
      <c r="G18" s="10" t="n">
        <v>243.7</v>
      </c>
      <c r="H18" s="10" t="n">
        <v>85.59999999999999</v>
      </c>
      <c r="I18" s="10" t="n">
        <v>173</v>
      </c>
      <c r="J18" s="43">
        <f>J12-J14-J16</f>
        <v/>
      </c>
      <c r="K18" s="43">
        <f>K12-K14-K16</f>
        <v/>
      </c>
      <c r="L18" s="43">
        <f>L12-L14-L16</f>
        <v/>
      </c>
      <c r="M18" s="43">
        <f>M12-M14-M16</f>
        <v/>
      </c>
      <c r="N18" s="43">
        <f>N12-N14-N16</f>
        <v/>
      </c>
      <c r="O18" s="43">
        <f>O12-O14-O16</f>
        <v/>
      </c>
      <c r="P18" s="43">
        <f>P12-P14-P16</f>
        <v/>
      </c>
      <c r="Q18" s="43">
        <f>Q12-Q14-Q16</f>
        <v/>
      </c>
      <c r="R18" s="2" t="n"/>
      <c r="S18" s="2" t="n"/>
      <c r="T18" s="43">
        <f>IF(COUNTBLANK(B18:C18)&gt;0,"",SUM(B18:C18))</f>
        <v/>
      </c>
      <c r="U18" s="43">
        <f>IF(COUNTBLANK(D18:G18)&gt;0,"",SUM(D18:G18))</f>
        <v/>
      </c>
      <c r="V18" s="43">
        <f>IF(COUNTBLANK(H18:K18)&gt;0,"",SUM(H18:K18))</f>
        <v/>
      </c>
      <c r="W18" s="43">
        <f>IF(COUNTBLANK(L18:O18)&gt;0,"",SUM(L18:O18))</f>
        <v/>
      </c>
      <c r="X18" s="43">
        <f>IF(COUNTBLANK(P18:Q18)&gt;0,"",SUM(P18:Q18))</f>
        <v/>
      </c>
      <c r="Y18" s="10" t="n">
        <v>550</v>
      </c>
      <c r="Z18" s="48">
        <f>(J18+K18+L18+M18)/Y18-1</f>
        <v/>
      </c>
      <c r="AA18" s="49" t="inlineStr">
        <is>
          <t>Pretax − Tax − Minority  (親会社株主帰属)</t>
        </is>
      </c>
    </row>
    <row r="19">
      <c r="A19" s="2" t="inlineStr">
        <is>
          <t xml:space="preserve">  NPM %</t>
        </is>
      </c>
      <c r="B19" s="12">
        <f>B18/B4*100</f>
        <v/>
      </c>
      <c r="C19" s="12">
        <f>C18/C4*100</f>
        <v/>
      </c>
      <c r="D19" s="12">
        <f>D18/D4*100</f>
        <v/>
      </c>
      <c r="E19" s="12">
        <f>E18/E4*100</f>
        <v/>
      </c>
      <c r="F19" s="12">
        <f>F18/F4*100</f>
        <v/>
      </c>
      <c r="G19" s="12">
        <f>G18/G4*100</f>
        <v/>
      </c>
      <c r="H19" s="12">
        <f>H18/H4*100</f>
        <v/>
      </c>
      <c r="I19" s="12">
        <f>I18/I4*100</f>
        <v/>
      </c>
      <c r="J19" s="12">
        <f>J18/J4*100</f>
        <v/>
      </c>
      <c r="K19" s="12">
        <f>K18/K4*100</f>
        <v/>
      </c>
      <c r="L19" s="12">
        <f>L18/L4*100</f>
        <v/>
      </c>
      <c r="M19" s="12">
        <f>M18/M4*100</f>
        <v/>
      </c>
      <c r="N19" s="12">
        <f>N18/N4*100</f>
        <v/>
      </c>
      <c r="O19" s="12">
        <f>O18/O4*100</f>
        <v/>
      </c>
      <c r="P19" s="12">
        <f>P18/P4*100</f>
        <v/>
      </c>
      <c r="Q19" s="12">
        <f>Q18/Q4*100</f>
        <v/>
      </c>
      <c r="R19" s="2" t="n"/>
      <c r="S19" s="2" t="n"/>
      <c r="T19" s="51">
        <f>IF(OR(COUNTBLANK(B18:C18)&gt;0,COUNTBLANK(B4:C4)&gt;0),"",SUM(B18:C18)/SUM(B4:C4)*100)</f>
        <v/>
      </c>
      <c r="U19" s="51">
        <f>IF(OR(COUNTBLANK(D18:G18)&gt;0,COUNTBLANK(D4:G4)&gt;0),"",SUM(D18:G18)/SUM(D4:G4)*100)</f>
        <v/>
      </c>
      <c r="V19" s="51">
        <f>IF(OR(COUNTBLANK(H18:K18)&gt;0,COUNTBLANK(H4:K4)&gt;0),"",SUM(H18:K18)/SUM(H4:K4)*100)</f>
        <v/>
      </c>
      <c r="W19" s="51">
        <f>IF(OR(COUNTBLANK(L18:O18)&gt;0,COUNTBLANK(L4:O4)&gt;0),"",SUM(L18:O18)/SUM(L4:O4)*100)</f>
        <v/>
      </c>
      <c r="X19" s="51">
        <f>IF(OR(COUNTBLANK(P18:Q18)&gt;0,COUNTBLANK(P4:Q4)&gt;0),"",SUM(P18:Q18)/SUM(P4:Q4)*100)</f>
        <v/>
      </c>
      <c r="Y19" s="2" t="n"/>
      <c r="Z19" s="2" t="n"/>
      <c r="AA19" s="49" t="inlineStr">
        <is>
          <t>NP ÷ Sales</t>
        </is>
      </c>
    </row>
    <row r="20">
      <c r="A20" s="2" t="n"/>
      <c r="B20" s="2" t="n"/>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c r="AA20" s="2" t="n"/>
    </row>
    <row r="21">
      <c r="A21" s="3" t="inlineStr">
        <is>
          <t>Diluted Shares (M)</t>
        </is>
      </c>
      <c r="B21" s="10" t="n">
        <v>263</v>
      </c>
      <c r="C21" s="10" t="n">
        <v>263</v>
      </c>
      <c r="D21" s="10" t="n">
        <v>263</v>
      </c>
      <c r="E21" s="10" t="n">
        <v>263</v>
      </c>
      <c r="F21" s="10" t="n">
        <v>262.9</v>
      </c>
      <c r="G21" s="10" t="n">
        <v>262.9</v>
      </c>
      <c r="H21" s="10" t="n">
        <v>262.8</v>
      </c>
      <c r="I21" s="10" t="n">
        <v>262.8</v>
      </c>
      <c r="J21" s="47">
        <f>I21-FS!J76*100/FS!$B$99</f>
        <v/>
      </c>
      <c r="K21" s="47">
        <f>J21-FS!K76*100/FS!$B$99</f>
        <v/>
      </c>
      <c r="L21" s="47">
        <f>K21-FS!L76*100/FS!$B$99</f>
        <v/>
      </c>
      <c r="M21" s="47">
        <f>L21-FS!M76*100/FS!$B$99</f>
        <v/>
      </c>
      <c r="N21" s="47">
        <f>M21-FS!N76*100/FS!$B$99</f>
        <v/>
      </c>
      <c r="O21" s="47">
        <f>N21-FS!O76*100/FS!$B$99</f>
        <v/>
      </c>
      <c r="P21" s="47">
        <f>O21-FS!P76*100/FS!$B$99</f>
        <v/>
      </c>
      <c r="Q21" s="47">
        <f>P21-FS!Q76*100/FS!$B$99</f>
        <v/>
      </c>
      <c r="R21" s="2" t="n"/>
      <c r="S21" s="2" t="n"/>
      <c r="T21" s="41">
        <f>IF(ISBLANK(C21),"",C21)</f>
        <v/>
      </c>
      <c r="U21" s="41">
        <f>IF(ISBLANK(G21),"",G21)</f>
        <v/>
      </c>
      <c r="V21" s="41">
        <f>IF(ISBLANK(K21),"",K21)</f>
        <v/>
      </c>
      <c r="W21" s="41">
        <f>IF(ISBLANK(O21),"",O21)</f>
        <v/>
      </c>
      <c r="X21" s="41">
        <f>IF(ISBLANK(Q21),"",Q21)</f>
        <v/>
      </c>
      <c r="Y21" s="2" t="n"/>
      <c r="Z21" s="2" t="n"/>
      <c r="AA21" s="49" t="inlineStr">
        <is>
          <t>Hist: per-Q AvgSh from fins_summary; Fcst: prior − Buyback×100÷AvgPx (B26)</t>
        </is>
      </c>
    </row>
    <row r="22">
      <c r="A22" s="3" t="inlineStr">
        <is>
          <t>EPS (¥)</t>
        </is>
      </c>
      <c r="B22" s="54">
        <f>B18*100/B21</f>
        <v/>
      </c>
      <c r="C22" s="54">
        <f>C18*100/C21</f>
        <v/>
      </c>
      <c r="D22" s="54">
        <f>D18*100/D21</f>
        <v/>
      </c>
      <c r="E22" s="54">
        <f>E18*100/E21</f>
        <v/>
      </c>
      <c r="F22" s="54">
        <f>F18*100/F21</f>
        <v/>
      </c>
      <c r="G22" s="54">
        <f>G18*100/G21</f>
        <v/>
      </c>
      <c r="H22" s="54">
        <f>H18*100/H21</f>
        <v/>
      </c>
      <c r="I22" s="54">
        <f>I18*100/I21</f>
        <v/>
      </c>
      <c r="J22" s="55">
        <f>J18*100/J21</f>
        <v/>
      </c>
      <c r="K22" s="55">
        <f>K18*100/K21</f>
        <v/>
      </c>
      <c r="L22" s="55">
        <f>L18*100/L21</f>
        <v/>
      </c>
      <c r="M22" s="55">
        <f>M18*100/M21</f>
        <v/>
      </c>
      <c r="N22" s="55">
        <f>N18*100/N21</f>
        <v/>
      </c>
      <c r="O22" s="55">
        <f>O18*100/O21</f>
        <v/>
      </c>
      <c r="P22" s="55">
        <f>P18*100/P21</f>
        <v/>
      </c>
      <c r="Q22" s="55">
        <f>Q18*100/Q21</f>
        <v/>
      </c>
      <c r="R22" s="2" t="n"/>
      <c r="S22" s="2" t="n"/>
      <c r="T22" s="55">
        <f>IF(COUNTBLANK(B22:C22)&gt;0,"",SUM(B22:C22))</f>
        <v/>
      </c>
      <c r="U22" s="55">
        <f>IF(COUNTBLANK(D22:G22)&gt;0,"",SUM(D22:G22))</f>
        <v/>
      </c>
      <c r="V22" s="55">
        <f>IF(COUNTBLANK(H22:K22)&gt;0,"",SUM(H22:K22))</f>
        <v/>
      </c>
      <c r="W22" s="55">
        <f>IF(COUNTBLANK(L22:O22)&gt;0,"",SUM(L22:O22))</f>
        <v/>
      </c>
      <c r="X22" s="55">
        <f>IF(COUNTBLANK(P22:Q22)&gt;0,"",SUM(P22:Q22))</f>
        <v/>
      </c>
      <c r="Y22" s="13" t="n">
        <v>209.25</v>
      </c>
      <c r="Z22" s="48">
        <f>(J22+K22+L22+M22)/Y22-1</f>
        <v/>
      </c>
      <c r="AA22" s="49" t="inlineStr">
        <is>
          <t>NP × 100 ÷ Shares  (oku → yen)</t>
        </is>
      </c>
    </row>
    <row r="23">
      <c r="A23" s="3" t="inlineStr">
        <is>
          <t>DPS (¥)</t>
        </is>
      </c>
      <c r="B23" s="54">
        <f>B22*0.4</f>
        <v/>
      </c>
      <c r="C23" s="54">
        <f>C22*0.4</f>
        <v/>
      </c>
      <c r="D23" s="54">
        <f>D22*0.4</f>
        <v/>
      </c>
      <c r="E23" s="54">
        <f>E22*0.4</f>
        <v/>
      </c>
      <c r="F23" s="54">
        <f>F22*0.4</f>
        <v/>
      </c>
      <c r="G23" s="54">
        <f>G22*0.4</f>
        <v/>
      </c>
      <c r="H23" s="54">
        <f>H22*0.4</f>
        <v/>
      </c>
      <c r="I23" s="54">
        <f>I22*0.4</f>
        <v/>
      </c>
      <c r="J23" s="14">
        <f>J22*FS!$B$88/100</f>
        <v/>
      </c>
      <c r="K23" s="14">
        <f>K22*FS!$B$88/100</f>
        <v/>
      </c>
      <c r="L23" s="14">
        <f>L22*FS!$B$88/100</f>
        <v/>
      </c>
      <c r="M23" s="14">
        <f>M22*FS!$B$88/100</f>
        <v/>
      </c>
      <c r="N23" s="14">
        <f>N22*FS!$B$88/100</f>
        <v/>
      </c>
      <c r="O23" s="14">
        <f>O22*FS!$B$88/100</f>
        <v/>
      </c>
      <c r="P23" s="14">
        <f>P22*FS!$B$88/100</f>
        <v/>
      </c>
      <c r="Q23" s="14">
        <f>Q22*FS!$B$88/100</f>
        <v/>
      </c>
      <c r="R23" s="2" t="n"/>
      <c r="S23" s="2" t="n"/>
      <c r="T23" s="56">
        <f>IF(COUNTBLANK(B23:C23)&gt;0,"",SUM(B23:C23))</f>
        <v/>
      </c>
      <c r="U23" s="56">
        <f>IF(COUNTBLANK(D23:G23)&gt;0,"",SUM(D23:G23))</f>
        <v/>
      </c>
      <c r="V23" s="56">
        <f>IF(COUNTBLANK(H23:K23)&gt;0,"",SUM(H23:K23))</f>
        <v/>
      </c>
      <c r="W23" s="56">
        <f>IF(COUNTBLANK(L23:O23)&gt;0,"",SUM(L23:O23))</f>
        <v/>
      </c>
      <c r="X23" s="56">
        <f>IF(COUNTBLANK(P23:Q23)&gt;0,"",SUM(P23:Q23))</f>
        <v/>
      </c>
      <c r="Y23" s="2" t="n"/>
      <c r="Z23" s="2" t="n"/>
      <c r="AA23" s="49" t="inlineStr">
        <is>
          <t>Disclosed DPS (実績/会社予想): interim@Q2, year-end@Q4; else EPS×payout</t>
        </is>
      </c>
    </row>
    <row r="24">
      <c r="A24" s="2" t="inlineStr">
        <is>
          <t>Payout %</t>
        </is>
      </c>
      <c r="B24" s="12">
        <f>IF(B22=0,"",B23/B22*100)</f>
        <v/>
      </c>
      <c r="C24" s="12">
        <f>IF(C22=0,"",C23/C22*100)</f>
        <v/>
      </c>
      <c r="D24" s="12">
        <f>IF(D22=0,"",D23/D22*100)</f>
        <v/>
      </c>
      <c r="E24" s="12">
        <f>IF(E22=0,"",E23/E22*100)</f>
        <v/>
      </c>
      <c r="F24" s="12">
        <f>IF(F22=0,"",F23/F22*100)</f>
        <v/>
      </c>
      <c r="G24" s="12">
        <f>IF(G22=0,"",G23/G22*100)</f>
        <v/>
      </c>
      <c r="H24" s="12">
        <f>IF(H22=0,"",H23/H22*100)</f>
        <v/>
      </c>
      <c r="I24" s="12">
        <f>IF(I22=0,"",I23/I22*100)</f>
        <v/>
      </c>
      <c r="J24" s="12">
        <f>IF(J22=0,"",J23/J22*100)</f>
        <v/>
      </c>
      <c r="K24" s="12">
        <f>IF(K22=0,"",K23/K22*100)</f>
        <v/>
      </c>
      <c r="L24" s="12">
        <f>IF(L22=0,"",L23/L22*100)</f>
        <v/>
      </c>
      <c r="M24" s="12">
        <f>IF(M22=0,"",M23/M22*100)</f>
        <v/>
      </c>
      <c r="N24" s="12">
        <f>IF(N22=0,"",N23/N22*100)</f>
        <v/>
      </c>
      <c r="O24" s="12">
        <f>IF(O22=0,"",O23/O22*100)</f>
        <v/>
      </c>
      <c r="P24" s="12">
        <f>IF(P22=0,"",P23/P22*100)</f>
        <v/>
      </c>
      <c r="Q24" s="12">
        <f>IF(Q22=0,"",Q23/Q22*100)</f>
        <v/>
      </c>
      <c r="R24" s="2" t="n"/>
      <c r="S24" s="2" t="n"/>
      <c r="T24" s="51">
        <f>IF(OR(COUNTBLANK(B23:C23)&gt;0,COUNTBLANK(B22:C22)&gt;0),"",SUM(B23:C23)/SUM(B22:C22)*100)</f>
        <v/>
      </c>
      <c r="U24" s="51">
        <f>IF(OR(COUNTBLANK(D23:G23)&gt;0,COUNTBLANK(D22:G22)&gt;0),"",SUM(D23:G23)/SUM(D22:G22)*100)</f>
        <v/>
      </c>
      <c r="V24" s="51">
        <f>IF(OR(COUNTBLANK(H23:K23)&gt;0,COUNTBLANK(H22:K22)&gt;0),"",SUM(H23:K23)/SUM(H22:K22)*100)</f>
        <v/>
      </c>
      <c r="W24" s="51">
        <f>IF(OR(COUNTBLANK(L23:O23)&gt;0,COUNTBLANK(L22:O22)&gt;0),"",SUM(L23:O23)/SUM(L22:O22)*100)</f>
        <v/>
      </c>
      <c r="X24" s="51">
        <f>IF(OR(COUNTBLANK(P23:Q23)&gt;0,COUNTBLANK(P22:Q22)&gt;0),"",SUM(P23:Q23)/SUM(P22:Q22)*100)</f>
        <v/>
      </c>
      <c r="Y24" s="2" t="n"/>
      <c r="Z24" s="2" t="n"/>
      <c r="AA24" s="49" t="inlineStr">
        <is>
          <t>DPS ÷ EPS</t>
        </is>
      </c>
    </row>
    <row r="25">
      <c r="A25" s="2" t="n"/>
      <c r="B25" s="2"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c r="AA25" s="2" t="n"/>
    </row>
    <row r="26">
      <c r="A26" s="2" t="n"/>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row>
    <row r="27">
      <c r="A27" s="45" t="inlineStr">
        <is>
          <t>Balance Sheet (億) — BLUE=actual/input, BLACK=formula, GREEN=cross-sheet, ORANGE=guide/end-of-FY</t>
        </is>
      </c>
      <c r="B27" s="2" t="n"/>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c r="AA27" s="2" t="n"/>
    </row>
    <row r="28">
      <c r="A28" s="2" t="n"/>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c r="AA28" s="2" t="n"/>
    </row>
    <row r="29">
      <c r="A29" s="6" t="inlineStr">
        <is>
          <t>Line Item</t>
        </is>
      </c>
      <c r="B29" s="37" t="inlineStr">
        <is>
          <t>FY24Q3</t>
        </is>
      </c>
      <c r="C29" s="37" t="inlineStr">
        <is>
          <t>FY24Q4</t>
        </is>
      </c>
      <c r="D29" s="37" t="inlineStr">
        <is>
          <t>FY25Q1</t>
        </is>
      </c>
      <c r="E29" s="37" t="inlineStr">
        <is>
          <t>FY25Q2</t>
        </is>
      </c>
      <c r="F29" s="37" t="inlineStr">
        <is>
          <t>FY25Q3</t>
        </is>
      </c>
      <c r="G29" s="37" t="inlineStr">
        <is>
          <t>FY25Q4</t>
        </is>
      </c>
      <c r="H29" s="37" t="inlineStr">
        <is>
          <t>FY26Q1</t>
        </is>
      </c>
      <c r="I29" s="37" t="inlineStr">
        <is>
          <t>FY26Q2</t>
        </is>
      </c>
      <c r="J29" s="38" t="inlineStr">
        <is>
          <t>FY26Q3</t>
        </is>
      </c>
      <c r="K29" s="38" t="inlineStr">
        <is>
          <t>FY26Q4</t>
        </is>
      </c>
      <c r="L29" s="38" t="inlineStr">
        <is>
          <t>FY27Q1</t>
        </is>
      </c>
      <c r="M29" s="38" t="inlineStr">
        <is>
          <t>FY27Q2</t>
        </is>
      </c>
      <c r="N29" s="38" t="inlineStr">
        <is>
          <t>FY27Q3</t>
        </is>
      </c>
      <c r="O29" s="38" t="inlineStr">
        <is>
          <t>FY27Q4</t>
        </is>
      </c>
      <c r="P29" s="38" t="inlineStr">
        <is>
          <t>FY28Q1</t>
        </is>
      </c>
      <c r="Q29" s="38" t="inlineStr">
        <is>
          <t>FY28Q2</t>
        </is>
      </c>
      <c r="R29" s="2" t="n"/>
      <c r="S29" s="2" t="n"/>
      <c r="T29" s="37" t="inlineStr">
        <is>
          <t>FY24</t>
        </is>
      </c>
      <c r="U29" s="37" t="inlineStr">
        <is>
          <t>FY25</t>
        </is>
      </c>
      <c r="V29" s="39" t="inlineStr">
        <is>
          <t>FY26</t>
        </is>
      </c>
      <c r="W29" s="39" t="inlineStr">
        <is>
          <t>FY27</t>
        </is>
      </c>
      <c r="X29" s="39" t="inlineStr">
        <is>
          <t>FY28</t>
        </is>
      </c>
      <c r="Y29" s="39" t="inlineStr">
        <is>
          <t>FY26 EoFY</t>
        </is>
      </c>
      <c r="Z29" s="2" t="n"/>
      <c r="AA29" s="46" t="inlineStr">
        <is>
          <t>Forecast Formula (plain English)</t>
        </is>
      </c>
    </row>
    <row r="30">
      <c r="A30" s="3" t="inlineStr">
        <is>
          <t>Cash &amp; Equivalents</t>
        </is>
      </c>
      <c r="B30" s="10" t="n">
        <v>699.4</v>
      </c>
      <c r="C30" s="10" t="n">
        <v>1003.8</v>
      </c>
      <c r="D30" s="10" t="n">
        <v>870.4</v>
      </c>
      <c r="E30" s="10" t="n">
        <v>859.8</v>
      </c>
      <c r="F30" s="10" t="n">
        <v>1020.8</v>
      </c>
      <c r="G30" s="10" t="n">
        <v>986.4</v>
      </c>
      <c r="H30" s="10" t="n">
        <v>993.4</v>
      </c>
      <c r="I30" s="10" t="n">
        <v>986.9</v>
      </c>
      <c r="J30" s="47">
        <f>I30+FS!J63+FS!J64+FS!J65</f>
        <v/>
      </c>
      <c r="K30" s="47">
        <f>J30+FS!K63+FS!K64+FS!K65</f>
        <v/>
      </c>
      <c r="L30" s="47">
        <f>K30+FS!L63+FS!L64+FS!L65</f>
        <v/>
      </c>
      <c r="M30" s="47">
        <f>L30+FS!M63+FS!M64+FS!M65</f>
        <v/>
      </c>
      <c r="N30" s="47">
        <f>M30+FS!N63+FS!N64+FS!N65</f>
        <v/>
      </c>
      <c r="O30" s="47">
        <f>N30+FS!O63+FS!O64+FS!O65</f>
        <v/>
      </c>
      <c r="P30" s="47">
        <f>O30+FS!P63+FS!P64+FS!P65</f>
        <v/>
      </c>
      <c r="Q30" s="47">
        <f>P30+FS!Q63+FS!Q64+FS!Q65</f>
        <v/>
      </c>
      <c r="R30" s="2" t="n"/>
      <c r="S30" s="2" t="n"/>
      <c r="T30" s="41">
        <f>IF(ISBLANK(C30),"",C30)</f>
        <v/>
      </c>
      <c r="U30" s="41">
        <f>IF(ISBLANK(G30),"",G30)</f>
        <v/>
      </c>
      <c r="V30" s="41">
        <f>IF(ISBLANK(K30),"",K30)</f>
        <v/>
      </c>
      <c r="W30" s="41">
        <f>IF(ISBLANK(O30),"",O30)</f>
        <v/>
      </c>
      <c r="X30" s="41">
        <f>IF(ISBLANK(Q30),"",Q30)</f>
        <v/>
      </c>
      <c r="Y30" s="50">
        <f>Q30</f>
        <v/>
      </c>
      <c r="Z30" s="2" t="n"/>
      <c r="AA30" s="49" t="inlineStr">
        <is>
          <t>Prior Cash + OCF + ICF + Financing CF  (rolled from CF sheet; NOT Free CF — that is the separate OCF+ICF row)</t>
        </is>
      </c>
    </row>
    <row r="31">
      <c r="A31" s="3" t="inlineStr">
        <is>
          <t xml:space="preserve">  Trade Receivables</t>
        </is>
      </c>
      <c r="B31" s="10" t="n">
        <v>1944.3</v>
      </c>
      <c r="C31" s="10" t="n">
        <v>2216.8</v>
      </c>
      <c r="D31" s="10" t="n">
        <v>2079.1</v>
      </c>
      <c r="E31" s="10" t="n">
        <v>1864.6</v>
      </c>
      <c r="F31" s="10" t="n">
        <v>1945.9</v>
      </c>
      <c r="G31" s="10" t="n">
        <v>2093.2</v>
      </c>
      <c r="H31" s="10" t="n">
        <v>2160.7</v>
      </c>
      <c r="I31" s="10" t="n">
        <v>2072.8</v>
      </c>
      <c r="J31" s="47">
        <f>J55*FS!J4/91</f>
        <v/>
      </c>
      <c r="K31" s="47">
        <f>K55*FS!K4/91</f>
        <v/>
      </c>
      <c r="L31" s="47">
        <f>L55*FS!L4/91</f>
        <v/>
      </c>
      <c r="M31" s="47">
        <f>M55*FS!M4/91</f>
        <v/>
      </c>
      <c r="N31" s="47">
        <f>N55*FS!N4/91</f>
        <v/>
      </c>
      <c r="O31" s="47">
        <f>O55*FS!O4/91</f>
        <v/>
      </c>
      <c r="P31" s="47">
        <f>P55*FS!P4/91</f>
        <v/>
      </c>
      <c r="Q31" s="47">
        <f>Q55*FS!Q4/91</f>
        <v/>
      </c>
      <c r="R31" s="2" t="n"/>
      <c r="S31" s="2" t="n"/>
      <c r="T31" s="41">
        <f>IF(ISBLANK(C31),"",C31)</f>
        <v/>
      </c>
      <c r="U31" s="41">
        <f>IF(ISBLANK(G31),"",G31)</f>
        <v/>
      </c>
      <c r="V31" s="41">
        <f>IF(ISBLANK(K31),"",K31)</f>
        <v/>
      </c>
      <c r="W31" s="41">
        <f>IF(ISBLANK(O31),"",O31)</f>
        <v/>
      </c>
      <c r="X31" s="41">
        <f>IF(ISBLANK(Q31),"",Q31)</f>
        <v/>
      </c>
      <c r="Y31" s="2" t="n"/>
      <c r="Z31" s="2" t="n"/>
      <c r="AA31" s="49" t="inlineStr">
        <is>
          <t>Sales × DSO / 91  (or actual when available)</t>
        </is>
      </c>
    </row>
    <row r="32">
      <c r="A32" s="3" t="inlineStr">
        <is>
          <t xml:space="preserve">  Inventory</t>
        </is>
      </c>
      <c r="B32" s="10" t="n">
        <v>2959.6</v>
      </c>
      <c r="C32" s="10" t="n">
        <v>2909.5</v>
      </c>
      <c r="D32" s="10" t="n">
        <v>2826.2</v>
      </c>
      <c r="E32" s="10" t="n">
        <v>2899.6</v>
      </c>
      <c r="F32" s="10" t="n">
        <v>3075.7</v>
      </c>
      <c r="G32" s="10" t="n">
        <v>2981.2</v>
      </c>
      <c r="H32" s="10" t="n">
        <v>3155.6</v>
      </c>
      <c r="I32" s="10" t="n">
        <v>3494.7</v>
      </c>
      <c r="J32" s="47">
        <f>J56*FS!J5/91</f>
        <v/>
      </c>
      <c r="K32" s="47">
        <f>K56*FS!K5/91</f>
        <v/>
      </c>
      <c r="L32" s="47">
        <f>L56*FS!L5/91</f>
        <v/>
      </c>
      <c r="M32" s="47">
        <f>M56*FS!M5/91</f>
        <v/>
      </c>
      <c r="N32" s="47">
        <f>N56*FS!N5/91</f>
        <v/>
      </c>
      <c r="O32" s="47">
        <f>O56*FS!O5/91</f>
        <v/>
      </c>
      <c r="P32" s="47">
        <f>P56*FS!P5/91</f>
        <v/>
      </c>
      <c r="Q32" s="47">
        <f>Q56*FS!Q5/91</f>
        <v/>
      </c>
      <c r="R32" s="2" t="n"/>
      <c r="S32" s="2" t="n"/>
      <c r="T32" s="41">
        <f>IF(ISBLANK(C32),"",C32)</f>
        <v/>
      </c>
      <c r="U32" s="41">
        <f>IF(ISBLANK(G32),"",G32)</f>
        <v/>
      </c>
      <c r="V32" s="41">
        <f>IF(ISBLANK(K32),"",K32)</f>
        <v/>
      </c>
      <c r="W32" s="41">
        <f>IF(ISBLANK(O32),"",O32)</f>
        <v/>
      </c>
      <c r="X32" s="41">
        <f>IF(ISBLANK(Q32),"",Q32)</f>
        <v/>
      </c>
      <c r="Y32" s="2" t="n"/>
      <c r="Z32" s="2" t="n"/>
      <c r="AA32" s="49" t="inlineStr">
        <is>
          <t>COGS × DIO / 91</t>
        </is>
      </c>
    </row>
    <row r="33">
      <c r="A33" s="3" t="inlineStr">
        <is>
          <t xml:space="preserve">  Other CA</t>
        </is>
      </c>
      <c r="B33" s="10" t="n">
        <v>781.4</v>
      </c>
      <c r="C33" s="10" t="n">
        <v>567.5</v>
      </c>
      <c r="D33" s="10" t="n">
        <v>571.8</v>
      </c>
      <c r="E33" s="10" t="n">
        <v>681.5</v>
      </c>
      <c r="F33" s="10" t="n">
        <v>777.6</v>
      </c>
      <c r="G33" s="10" t="n">
        <v>732.4</v>
      </c>
      <c r="H33" s="10" t="n">
        <v>699.4</v>
      </c>
      <c r="I33" s="10" t="n">
        <v>626.4</v>
      </c>
      <c r="J33" s="41">
        <f>I33</f>
        <v/>
      </c>
      <c r="K33" s="41">
        <f>J33</f>
        <v/>
      </c>
      <c r="L33" s="41">
        <f>K33</f>
        <v/>
      </c>
      <c r="M33" s="41">
        <f>L33</f>
        <v/>
      </c>
      <c r="N33" s="41">
        <f>M33</f>
        <v/>
      </c>
      <c r="O33" s="41">
        <f>N33</f>
        <v/>
      </c>
      <c r="P33" s="41">
        <f>O33</f>
        <v/>
      </c>
      <c r="Q33" s="41">
        <f>P33</f>
        <v/>
      </c>
      <c r="R33" s="2" t="n"/>
      <c r="S33" s="2" t="n"/>
      <c r="T33" s="41">
        <f>IF(ISBLANK(C33),"",C33)</f>
        <v/>
      </c>
      <c r="U33" s="41">
        <f>IF(ISBLANK(G33),"",G33)</f>
        <v/>
      </c>
      <c r="V33" s="41">
        <f>IF(ISBLANK(K33),"",K33)</f>
        <v/>
      </c>
      <c r="W33" s="41">
        <f>IF(ISBLANK(O33),"",O33)</f>
        <v/>
      </c>
      <c r="X33" s="41">
        <f>IF(ISBLANK(Q33),"",Q33)</f>
        <v/>
      </c>
      <c r="Y33" s="2" t="n"/>
      <c r="Z33" s="2" t="n"/>
      <c r="AA33" s="49" t="inlineStr">
        <is>
          <t>Held constant from prior  (roll-forward, NOT zeroed)</t>
        </is>
      </c>
    </row>
    <row r="34">
      <c r="A34" s="3" t="inlineStr">
        <is>
          <t>Current Assets</t>
        </is>
      </c>
      <c r="B34" s="42">
        <f>B30+B31+B32+B33</f>
        <v/>
      </c>
      <c r="C34" s="42">
        <f>C30+C31+C32+C33</f>
        <v/>
      </c>
      <c r="D34" s="42">
        <f>D30+D31+D32+D33</f>
        <v/>
      </c>
      <c r="E34" s="42">
        <f>E30+E31+E32+E33</f>
        <v/>
      </c>
      <c r="F34" s="42">
        <f>F30+F31+F32+F33</f>
        <v/>
      </c>
      <c r="G34" s="42">
        <f>G30+G31+G32+G33</f>
        <v/>
      </c>
      <c r="H34" s="42">
        <f>H30+H31+H32+H33</f>
        <v/>
      </c>
      <c r="I34" s="42">
        <f>I30+I31+I32+I33</f>
        <v/>
      </c>
      <c r="J34" s="42">
        <f>J30+J31+J32+J33</f>
        <v/>
      </c>
      <c r="K34" s="42">
        <f>K30+K31+K32+K33</f>
        <v/>
      </c>
      <c r="L34" s="42">
        <f>L30+L31+L32+L33</f>
        <v/>
      </c>
      <c r="M34" s="42">
        <f>M30+M31+M32+M33</f>
        <v/>
      </c>
      <c r="N34" s="42">
        <f>N30+N31+N32+N33</f>
        <v/>
      </c>
      <c r="O34" s="42">
        <f>O30+O31+O32+O33</f>
        <v/>
      </c>
      <c r="P34" s="42">
        <f>P30+P31+P32+P33</f>
        <v/>
      </c>
      <c r="Q34" s="42">
        <f>Q30+Q31+Q32+Q33</f>
        <v/>
      </c>
      <c r="R34" s="2" t="n"/>
      <c r="S34" s="2" t="n"/>
      <c r="T34" s="41">
        <f>IF(ISBLANK(C34),"",C34)</f>
        <v/>
      </c>
      <c r="U34" s="41">
        <f>IF(ISBLANK(G34),"",G34)</f>
        <v/>
      </c>
      <c r="V34" s="41">
        <f>IF(ISBLANK(K34),"",K34)</f>
        <v/>
      </c>
      <c r="W34" s="41">
        <f>IF(ISBLANK(O34),"",O34)</f>
        <v/>
      </c>
      <c r="X34" s="41">
        <f>IF(ISBLANK(Q34),"",Q34)</f>
        <v/>
      </c>
      <c r="Y34" s="2" t="n"/>
      <c r="Z34" s="2" t="n"/>
      <c r="AA34" s="49" t="inlineStr">
        <is>
          <t>Cash + AR + Inv + OtherCA</t>
        </is>
      </c>
    </row>
    <row r="35">
      <c r="A35" s="2" t="n"/>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c r="AA35" s="2" t="n"/>
    </row>
    <row r="36">
      <c r="A36" s="3" t="inlineStr">
        <is>
          <t xml:space="preserve">  PPE (rolled)</t>
        </is>
      </c>
      <c r="B36" s="10" t="n">
        <v>4241.5</v>
      </c>
      <c r="C36" s="10" t="n">
        <v>4440.5</v>
      </c>
      <c r="D36" s="10" t="n">
        <v>4272.4</v>
      </c>
      <c r="E36" s="10" t="n">
        <v>4318.6</v>
      </c>
      <c r="F36" s="10" t="n">
        <v>4397.9</v>
      </c>
      <c r="G36" s="10" t="n">
        <v>4664.6</v>
      </c>
      <c r="H36" s="10" t="n">
        <v>4702</v>
      </c>
      <c r="I36" s="10" t="n">
        <v>4783.3</v>
      </c>
      <c r="J36" s="47">
        <f>I36-FS!J64-I36*FS!$B$100</f>
        <v/>
      </c>
      <c r="K36" s="47">
        <f>J36-FS!K64-J36*FS!$B$100</f>
        <v/>
      </c>
      <c r="L36" s="47">
        <f>K36-FS!L64-K36*FS!$B$100</f>
        <v/>
      </c>
      <c r="M36" s="47">
        <f>L36-FS!M64-L36*FS!$B$100</f>
        <v/>
      </c>
      <c r="N36" s="47">
        <f>M36-FS!N64-M36*FS!$B$100</f>
        <v/>
      </c>
      <c r="O36" s="47">
        <f>N36-FS!O64-N36*FS!$B$100</f>
        <v/>
      </c>
      <c r="P36" s="47">
        <f>O36-FS!P64-O36*FS!$B$100</f>
        <v/>
      </c>
      <c r="Q36" s="47">
        <f>P36-FS!Q64-P36*FS!$B$100</f>
        <v/>
      </c>
      <c r="R36" s="2" t="n"/>
      <c r="S36" s="2" t="n"/>
      <c r="T36" s="41">
        <f>IF(ISBLANK(C36),"",C36)</f>
        <v/>
      </c>
      <c r="U36" s="41">
        <f>IF(ISBLANK(G36),"",G36)</f>
        <v/>
      </c>
      <c r="V36" s="41">
        <f>IF(ISBLANK(K36),"",K36)</f>
        <v/>
      </c>
      <c r="W36" s="41">
        <f>IF(ISBLANK(O36),"",O36)</f>
        <v/>
      </c>
      <c r="X36" s="41">
        <f>IF(ISBLANK(Q36),"",Q36)</f>
        <v/>
      </c>
      <c r="Y36" s="2" t="n"/>
      <c r="Z36" s="2" t="n"/>
      <c r="AA36" s="49" t="inlineStr">
        <is>
          <t>Prior PPE + Capex − D&amp;A (Prior PPE × 4.39%/Q  (calibrated to the disclosed guide 210億/Q at the latest PPE; rises with PPE thereafter))</t>
        </is>
      </c>
    </row>
    <row r="37">
      <c r="A37" s="3" t="inlineStr">
        <is>
          <t xml:space="preserve">  Other NCA</t>
        </is>
      </c>
      <c r="B37" s="50">
        <f>B38-B34-B36</f>
        <v/>
      </c>
      <c r="C37" s="50">
        <f>C38-C34-C36</f>
        <v/>
      </c>
      <c r="D37" s="50">
        <f>D38-D34-D36</f>
        <v/>
      </c>
      <c r="E37" s="50">
        <f>E38-E34-E36</f>
        <v/>
      </c>
      <c r="F37" s="50">
        <f>F38-F34-F36</f>
        <v/>
      </c>
      <c r="G37" s="50">
        <f>G38-G34-G36</f>
        <v/>
      </c>
      <c r="H37" s="50">
        <f>H38-H34-H36</f>
        <v/>
      </c>
      <c r="I37" s="50">
        <f>I38-I34-I36</f>
        <v/>
      </c>
      <c r="J37" s="41">
        <f>I37</f>
        <v/>
      </c>
      <c r="K37" s="41">
        <f>J37</f>
        <v/>
      </c>
      <c r="L37" s="41">
        <f>K37</f>
        <v/>
      </c>
      <c r="M37" s="41">
        <f>L37</f>
        <v/>
      </c>
      <c r="N37" s="41">
        <f>M37</f>
        <v/>
      </c>
      <c r="O37" s="41">
        <f>N37</f>
        <v/>
      </c>
      <c r="P37" s="41">
        <f>O37</f>
        <v/>
      </c>
      <c r="Q37" s="41">
        <f>P37</f>
        <v/>
      </c>
      <c r="R37" s="2" t="n"/>
      <c r="S37" s="2" t="n"/>
      <c r="T37" s="41">
        <f>IF(ISBLANK(C37),"",C37)</f>
        <v/>
      </c>
      <c r="U37" s="41">
        <f>IF(ISBLANK(G37),"",G37)</f>
        <v/>
      </c>
      <c r="V37" s="41">
        <f>IF(ISBLANK(K37),"",K37)</f>
        <v/>
      </c>
      <c r="W37" s="41">
        <f>IF(ISBLANK(O37),"",O37)</f>
        <v/>
      </c>
      <c r="X37" s="41">
        <f>IF(ISBLANK(Q37),"",Q37)</f>
        <v/>
      </c>
      <c r="Y37" s="2" t="n"/>
      <c r="Z37" s="2" t="n"/>
      <c r="AA37" s="49" t="inlineStr">
        <is>
          <t>Held constant from prior</t>
        </is>
      </c>
    </row>
    <row r="38">
      <c r="A38" s="3" t="inlineStr">
        <is>
          <t>TOTAL ASSETS</t>
        </is>
      </c>
      <c r="B38" s="57" t="n">
        <v>12713.6</v>
      </c>
      <c r="C38" s="57" t="n">
        <v>13411.2</v>
      </c>
      <c r="D38" s="57" t="n">
        <v>12902.4</v>
      </c>
      <c r="E38" s="57" t="n">
        <v>13529.8</v>
      </c>
      <c r="F38" s="57" t="n">
        <v>14172.1</v>
      </c>
      <c r="G38" s="57" t="n">
        <v>14599.3</v>
      </c>
      <c r="H38" s="57" t="n">
        <v>14906</v>
      </c>
      <c r="I38" s="57" t="n">
        <v>15121.6</v>
      </c>
      <c r="J38" s="43">
        <f>J34+J36+J37</f>
        <v/>
      </c>
      <c r="K38" s="43">
        <f>K34+K36+K37</f>
        <v/>
      </c>
      <c r="L38" s="43">
        <f>L34+L36+L37</f>
        <v/>
      </c>
      <c r="M38" s="43">
        <f>M34+M36+M37</f>
        <v/>
      </c>
      <c r="N38" s="43">
        <f>N34+N36+N37</f>
        <v/>
      </c>
      <c r="O38" s="43">
        <f>O34+O36+O37</f>
        <v/>
      </c>
      <c r="P38" s="43">
        <f>P34+P36+P37</f>
        <v/>
      </c>
      <c r="Q38" s="43">
        <f>Q34+Q36+Q37</f>
        <v/>
      </c>
      <c r="R38" s="2" t="n"/>
      <c r="S38" s="2" t="n"/>
      <c r="T38" s="41">
        <f>IF(ISBLANK(C38),"",C38)</f>
        <v/>
      </c>
      <c r="U38" s="41">
        <f>IF(ISBLANK(G38),"",G38)</f>
        <v/>
      </c>
      <c r="V38" s="41">
        <f>IF(ISBLANK(K38),"",K38)</f>
        <v/>
      </c>
      <c r="W38" s="41">
        <f>IF(ISBLANK(O38),"",O38)</f>
        <v/>
      </c>
      <c r="X38" s="41">
        <f>IF(ISBLANK(Q38),"",Q38)</f>
        <v/>
      </c>
      <c r="Y38" s="42">
        <f>Q38</f>
        <v/>
      </c>
      <c r="Z38" s="2" t="n"/>
      <c r="AA38" s="49" t="inlineStr">
        <is>
          <t>CA + PPE + OtherNCA</t>
        </is>
      </c>
    </row>
    <row r="39">
      <c r="A39" s="2" t="n"/>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c r="AA39" s="2" t="n"/>
    </row>
    <row r="40">
      <c r="A40" s="3" t="inlineStr">
        <is>
          <t xml:space="preserve">  Trade Payables</t>
        </is>
      </c>
      <c r="B40" s="10" t="n">
        <v>1597.5</v>
      </c>
      <c r="C40" s="10" t="n">
        <v>1865.9</v>
      </c>
      <c r="D40" s="10" t="n">
        <v>1682.4</v>
      </c>
      <c r="E40" s="10" t="n">
        <v>1618.1</v>
      </c>
      <c r="F40" s="10" t="n">
        <v>1582.8</v>
      </c>
      <c r="G40" s="10" t="n">
        <v>1810.5</v>
      </c>
      <c r="H40" s="10" t="n">
        <v>1706.5</v>
      </c>
      <c r="I40" s="10" t="n">
        <v>1805.4</v>
      </c>
      <c r="J40" s="47">
        <f>J57*FS!J5/91</f>
        <v/>
      </c>
      <c r="K40" s="47">
        <f>K57*FS!K5/91</f>
        <v/>
      </c>
      <c r="L40" s="47">
        <f>L57*FS!L5/91</f>
        <v/>
      </c>
      <c r="M40" s="47">
        <f>M57*FS!M5/91</f>
        <v/>
      </c>
      <c r="N40" s="47">
        <f>N57*FS!N5/91</f>
        <v/>
      </c>
      <c r="O40" s="47">
        <f>O57*FS!O5/91</f>
        <v/>
      </c>
      <c r="P40" s="47">
        <f>P57*FS!P5/91</f>
        <v/>
      </c>
      <c r="Q40" s="47">
        <f>Q57*FS!Q5/91</f>
        <v/>
      </c>
      <c r="R40" s="2" t="n"/>
      <c r="S40" s="2" t="n"/>
      <c r="T40" s="41">
        <f>IF(ISBLANK(C40),"",C40)</f>
        <v/>
      </c>
      <c r="U40" s="41">
        <f>IF(ISBLANK(G40),"",G40)</f>
        <v/>
      </c>
      <c r="V40" s="41">
        <f>IF(ISBLANK(K40),"",K40)</f>
        <v/>
      </c>
      <c r="W40" s="41">
        <f>IF(ISBLANK(O40),"",O40)</f>
        <v/>
      </c>
      <c r="X40" s="41">
        <f>IF(ISBLANK(Q40),"",Q40)</f>
        <v/>
      </c>
      <c r="Y40" s="2" t="n"/>
      <c r="Z40" s="2" t="n"/>
      <c r="AA40" s="49" t="inlineStr">
        <is>
          <t>COGS × DPO / 91  (or actual)</t>
        </is>
      </c>
    </row>
    <row r="41">
      <c r="A41" s="3" t="inlineStr">
        <is>
          <t xml:space="preserve">  Debt</t>
        </is>
      </c>
      <c r="B41" s="10" t="n">
        <v>2510.4</v>
      </c>
      <c r="C41" s="10" t="n">
        <v>2524.4</v>
      </c>
      <c r="D41" s="10" t="n">
        <v>2620.2</v>
      </c>
      <c r="E41" s="10" t="n">
        <v>3268.8</v>
      </c>
      <c r="F41" s="10" t="n">
        <v>3560.7</v>
      </c>
      <c r="G41" s="10" t="n">
        <v>3220.5</v>
      </c>
      <c r="H41" s="10" t="n">
        <v>3556.6</v>
      </c>
      <c r="I41" s="10" t="n">
        <v>3477.8</v>
      </c>
      <c r="J41" s="47">
        <f>I41+FS!J77</f>
        <v/>
      </c>
      <c r="K41" s="47">
        <f>J41+FS!K77</f>
        <v/>
      </c>
      <c r="L41" s="47">
        <f>K41+FS!L77</f>
        <v/>
      </c>
      <c r="M41" s="47">
        <f>L41+FS!M77</f>
        <v/>
      </c>
      <c r="N41" s="47">
        <f>M41+FS!N77</f>
        <v/>
      </c>
      <c r="O41" s="47">
        <f>N41+FS!O77</f>
        <v/>
      </c>
      <c r="P41" s="47">
        <f>O41+FS!P77</f>
        <v/>
      </c>
      <c r="Q41" s="47">
        <f>P41+FS!Q77</f>
        <v/>
      </c>
      <c r="R41" s="2" t="n"/>
      <c r="S41" s="2" t="n"/>
      <c r="T41" s="41">
        <f>IF(ISBLANK(C41),"",C41)</f>
        <v/>
      </c>
      <c r="U41" s="41">
        <f>IF(ISBLANK(G41),"",G41)</f>
        <v/>
      </c>
      <c r="V41" s="41">
        <f>IF(ISBLANK(K41),"",K41)</f>
        <v/>
      </c>
      <c r="W41" s="41">
        <f>IF(ISBLANK(O41),"",O41)</f>
        <v/>
      </c>
      <c r="X41" s="41">
        <f>IF(ISBLANK(Q41),"",Q41)</f>
        <v/>
      </c>
      <c r="Y41" s="2" t="n"/>
      <c r="Z41" s="2" t="n"/>
      <c r="AA41" s="49" t="inlineStr">
        <is>
          <t>Prior Debt + Net Debt Issuance (held flat unless a schedule is set)</t>
        </is>
      </c>
    </row>
    <row r="42">
      <c r="A42" s="3" t="inlineStr">
        <is>
          <t xml:space="preserve">  Other Liab</t>
        </is>
      </c>
      <c r="B42" s="50">
        <f>B43-B40-B41</f>
        <v/>
      </c>
      <c r="C42" s="50">
        <f>C43-C40-C41</f>
        <v/>
      </c>
      <c r="D42" s="50">
        <f>D43-D40-D41</f>
        <v/>
      </c>
      <c r="E42" s="50">
        <f>E43-E40-E41</f>
        <v/>
      </c>
      <c r="F42" s="50">
        <f>F43-F40-F41</f>
        <v/>
      </c>
      <c r="G42" s="50">
        <f>G43-G40-G41</f>
        <v/>
      </c>
      <c r="H42" s="50">
        <f>H43-H40-H41</f>
        <v/>
      </c>
      <c r="I42" s="50">
        <f>I43-I40-I41</f>
        <v/>
      </c>
      <c r="J42" s="41">
        <f>I42</f>
        <v/>
      </c>
      <c r="K42" s="41">
        <f>J42</f>
        <v/>
      </c>
      <c r="L42" s="41">
        <f>K42</f>
        <v/>
      </c>
      <c r="M42" s="41">
        <f>L42</f>
        <v/>
      </c>
      <c r="N42" s="41">
        <f>M42</f>
        <v/>
      </c>
      <c r="O42" s="41">
        <f>N42</f>
        <v/>
      </c>
      <c r="P42" s="41">
        <f>O42</f>
        <v/>
      </c>
      <c r="Q42" s="41">
        <f>P42</f>
        <v/>
      </c>
      <c r="R42" s="2" t="n"/>
      <c r="S42" s="2" t="n"/>
      <c r="T42" s="41">
        <f>IF(ISBLANK(C42),"",C42)</f>
        <v/>
      </c>
      <c r="U42" s="41">
        <f>IF(ISBLANK(G42),"",G42)</f>
        <v/>
      </c>
      <c r="V42" s="41">
        <f>IF(ISBLANK(K42),"",K42)</f>
        <v/>
      </c>
      <c r="W42" s="41">
        <f>IF(ISBLANK(O42),"",O42)</f>
        <v/>
      </c>
      <c r="X42" s="41">
        <f>IF(ISBLANK(Q42),"",Q42)</f>
        <v/>
      </c>
      <c r="Y42" s="2" t="n"/>
      <c r="Z42" s="2" t="n"/>
      <c r="AA42" s="49" t="inlineStr">
        <is>
          <t>Held constant from prior  (roll-forward)</t>
        </is>
      </c>
    </row>
    <row r="43">
      <c r="A43" s="3" t="inlineStr">
        <is>
          <t>TOTAL LIAB</t>
        </is>
      </c>
      <c r="B43" s="57" t="n">
        <v>6341.8</v>
      </c>
      <c r="C43" s="57" t="n">
        <v>6653.1</v>
      </c>
      <c r="D43" s="57" t="n">
        <v>6408.3</v>
      </c>
      <c r="E43" s="57" t="n">
        <v>6937.2</v>
      </c>
      <c r="F43" s="57" t="n">
        <v>7359.2</v>
      </c>
      <c r="G43" s="57" t="n">
        <v>7236.2</v>
      </c>
      <c r="H43" s="57" t="n">
        <v>7434.6</v>
      </c>
      <c r="I43" s="57" t="n">
        <v>7374.1</v>
      </c>
      <c r="J43" s="43">
        <f>J40+J41+J42</f>
        <v/>
      </c>
      <c r="K43" s="43">
        <f>K40+K41+K42</f>
        <v/>
      </c>
      <c r="L43" s="43">
        <f>L40+L41+L42</f>
        <v/>
      </c>
      <c r="M43" s="43">
        <f>M40+M41+M42</f>
        <v/>
      </c>
      <c r="N43" s="43">
        <f>N40+N41+N42</f>
        <v/>
      </c>
      <c r="O43" s="43">
        <f>O40+O41+O42</f>
        <v/>
      </c>
      <c r="P43" s="43">
        <f>P40+P41+P42</f>
        <v/>
      </c>
      <c r="Q43" s="43">
        <f>Q40+Q41+Q42</f>
        <v/>
      </c>
      <c r="R43" s="2" t="n"/>
      <c r="S43" s="2" t="n"/>
      <c r="T43" s="41">
        <f>IF(ISBLANK(C43),"",C43)</f>
        <v/>
      </c>
      <c r="U43" s="41">
        <f>IF(ISBLANK(G43),"",G43)</f>
        <v/>
      </c>
      <c r="V43" s="41">
        <f>IF(ISBLANK(K43),"",K43)</f>
        <v/>
      </c>
      <c r="W43" s="41">
        <f>IF(ISBLANK(O43),"",O43)</f>
        <v/>
      </c>
      <c r="X43" s="41">
        <f>IF(ISBLANK(Q43),"",Q43)</f>
        <v/>
      </c>
      <c r="Y43" s="2" t="n"/>
      <c r="Z43" s="2" t="n"/>
      <c r="AA43" s="49" t="inlineStr">
        <is>
          <t>AP + Debt + OtherL  (independent components)</t>
        </is>
      </c>
    </row>
    <row r="44">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c r="AA44" s="2" t="n"/>
    </row>
    <row r="45">
      <c r="A45" s="3" t="inlineStr">
        <is>
          <t>Shareholders Eq</t>
        </is>
      </c>
      <c r="B45" s="57" t="n">
        <v>6191.5</v>
      </c>
      <c r="C45" s="57" t="n">
        <v>6558.1</v>
      </c>
      <c r="D45" s="57" t="n">
        <v>6309.3</v>
      </c>
      <c r="E45" s="57" t="n">
        <v>6413.1</v>
      </c>
      <c r="F45" s="57" t="n">
        <v>6618.4</v>
      </c>
      <c r="G45" s="57" t="n">
        <v>7153.7</v>
      </c>
      <c r="H45" s="57" t="n">
        <v>7259.2</v>
      </c>
      <c r="I45" s="57" t="n">
        <v>7545.7</v>
      </c>
      <c r="J45" s="52">
        <f>I45+FS!J18-FS!J23*FS!J21/100-FS!J76</f>
        <v/>
      </c>
      <c r="K45" s="52">
        <f>J45+FS!K18-FS!K23*FS!K21/100-FS!K76</f>
        <v/>
      </c>
      <c r="L45" s="52">
        <f>K45+FS!L18-FS!L23*FS!L21/100-FS!L76</f>
        <v/>
      </c>
      <c r="M45" s="52">
        <f>L45+FS!M18-FS!M23*FS!M21/100-FS!M76</f>
        <v/>
      </c>
      <c r="N45" s="52">
        <f>M45+FS!N18-FS!N23*FS!N21/100-FS!N76</f>
        <v/>
      </c>
      <c r="O45" s="52">
        <f>N45+FS!O18-FS!O23*FS!O21/100-FS!O76</f>
        <v/>
      </c>
      <c r="P45" s="52">
        <f>O45+FS!P18-FS!P23*FS!P21/100-FS!P76</f>
        <v/>
      </c>
      <c r="Q45" s="52">
        <f>P45+FS!Q18-FS!Q23*FS!Q21/100-FS!Q76</f>
        <v/>
      </c>
      <c r="R45" s="2" t="n"/>
      <c r="S45" s="2" t="n"/>
      <c r="T45" s="41">
        <f>IF(ISBLANK(C45),"",C45)</f>
        <v/>
      </c>
      <c r="U45" s="41">
        <f>IF(ISBLANK(G45),"",G45)</f>
        <v/>
      </c>
      <c r="V45" s="41">
        <f>IF(ISBLANK(K45),"",K45)</f>
        <v/>
      </c>
      <c r="W45" s="41">
        <f>IF(ISBLANK(O45),"",O45)</f>
        <v/>
      </c>
      <c r="X45" s="41">
        <f>IF(ISBLANK(Q45),"",Q45)</f>
        <v/>
      </c>
      <c r="Y45" s="42">
        <f>Q45</f>
        <v/>
      </c>
      <c r="Z45" s="2" t="n"/>
      <c r="AA45" s="49" t="inlineStr">
        <is>
          <t>Prior Eq + NI − Dividends − Buyback</t>
        </is>
      </c>
    </row>
    <row r="46">
      <c r="A46" s="3" t="inlineStr">
        <is>
          <t xml:space="preserve">  Retained Earnings</t>
        </is>
      </c>
      <c r="B46" s="10" t="n">
        <v>5052.4</v>
      </c>
      <c r="C46" s="10" t="n">
        <v>5208.1</v>
      </c>
      <c r="D46" s="10" t="n">
        <v>5169.9</v>
      </c>
      <c r="E46" s="10" t="n">
        <v>5261</v>
      </c>
      <c r="F46" s="10" t="n">
        <v>5286.3</v>
      </c>
      <c r="G46" s="10" t="n">
        <v>5559.9</v>
      </c>
      <c r="H46" s="10" t="n">
        <v>5535.9</v>
      </c>
      <c r="I46" s="10" t="n">
        <v>5710.8</v>
      </c>
      <c r="J46" s="47">
        <f>I46+FS!J18-FS!J75-FS!J76</f>
        <v/>
      </c>
      <c r="K46" s="47">
        <f>J46+FS!K18-FS!K75-FS!K76</f>
        <v/>
      </c>
      <c r="L46" s="47">
        <f>K46+FS!L18-FS!L75-FS!L76</f>
        <v/>
      </c>
      <c r="M46" s="47">
        <f>L46+FS!M18-FS!M75-FS!M76</f>
        <v/>
      </c>
      <c r="N46" s="47">
        <f>M46+FS!N18-FS!N75-FS!N76</f>
        <v/>
      </c>
      <c r="O46" s="47">
        <f>N46+FS!O18-FS!O75-FS!O76</f>
        <v/>
      </c>
      <c r="P46" s="47">
        <f>O46+FS!P18-FS!P75-FS!P76</f>
        <v/>
      </c>
      <c r="Q46" s="47">
        <f>P46+FS!Q18-FS!Q75-FS!Q76</f>
        <v/>
      </c>
      <c r="R46" s="2" t="n"/>
      <c r="S46" s="2" t="n"/>
      <c r="T46" s="41">
        <f>IF(ISBLANK(C46),"",C46)</f>
        <v/>
      </c>
      <c r="U46" s="41">
        <f>IF(ISBLANK(G46),"",G46)</f>
        <v/>
      </c>
      <c r="V46" s="41">
        <f>IF(ISBLANK(K46),"",K46)</f>
        <v/>
      </c>
      <c r="W46" s="41">
        <f>IF(ISBLANK(O46),"",O46)</f>
        <v/>
      </c>
      <c r="X46" s="41">
        <f>IF(ISBLANK(Q46),"",Q46)</f>
        <v/>
      </c>
      <c r="Y46" s="2" t="n"/>
      <c r="Z46" s="2" t="n"/>
      <c r="AA46" s="49" t="inlineStr">
        <is>
          <t>Prior RE + NI − Dividends − Buyback</t>
        </is>
      </c>
    </row>
    <row r="47">
      <c r="A47" s="3" t="inlineStr">
        <is>
          <t xml:space="preserve">  Non-controlling</t>
        </is>
      </c>
      <c r="B47" s="10" t="n">
        <v>180.3</v>
      </c>
      <c r="C47" s="10" t="n">
        <v>200</v>
      </c>
      <c r="D47" s="10" t="n">
        <v>184.9</v>
      </c>
      <c r="E47" s="10" t="n">
        <v>179.5</v>
      </c>
      <c r="F47" s="10" t="n">
        <v>194.5</v>
      </c>
      <c r="G47" s="10" t="n">
        <v>209.4</v>
      </c>
      <c r="H47" s="10" t="n">
        <v>212.1</v>
      </c>
      <c r="I47" s="10" t="n">
        <v>201.8</v>
      </c>
      <c r="J47" s="50">
        <f>I47</f>
        <v/>
      </c>
      <c r="K47" s="50">
        <f>J47</f>
        <v/>
      </c>
      <c r="L47" s="50">
        <f>K47</f>
        <v/>
      </c>
      <c r="M47" s="50">
        <f>L47</f>
        <v/>
      </c>
      <c r="N47" s="50">
        <f>M47</f>
        <v/>
      </c>
      <c r="O47" s="50">
        <f>N47</f>
        <v/>
      </c>
      <c r="P47" s="50">
        <f>O47</f>
        <v/>
      </c>
      <c r="Q47" s="50">
        <f>P47</f>
        <v/>
      </c>
      <c r="R47" s="2" t="n"/>
      <c r="S47" s="2" t="n"/>
      <c r="T47" s="41">
        <f>IF(ISBLANK(C47),"",C47)</f>
        <v/>
      </c>
      <c r="U47" s="41">
        <f>IF(ISBLANK(G47),"",G47)</f>
        <v/>
      </c>
      <c r="V47" s="41">
        <f>IF(ISBLANK(K47),"",K47)</f>
        <v/>
      </c>
      <c r="W47" s="41">
        <f>IF(ISBLANK(O47),"",O47)</f>
        <v/>
      </c>
      <c r="X47" s="41">
        <f>IF(ISBLANK(Q47),"",Q47)</f>
        <v/>
      </c>
      <c r="Y47" s="2" t="n"/>
      <c r="Z47" s="2" t="n"/>
      <c r="AA47" s="49" t="inlineStr">
        <is>
          <t>Held constant from prior  (roll-forward, NOT zeroed)</t>
        </is>
      </c>
    </row>
    <row r="48">
      <c r="A48" s="3" t="inlineStr">
        <is>
          <t>TOTAL EQUITY</t>
        </is>
      </c>
      <c r="B48" s="42">
        <f>B45+B47</f>
        <v/>
      </c>
      <c r="C48" s="42">
        <f>C45+C47</f>
        <v/>
      </c>
      <c r="D48" s="42">
        <f>D45+D47</f>
        <v/>
      </c>
      <c r="E48" s="42">
        <f>E45+E47</f>
        <v/>
      </c>
      <c r="F48" s="42">
        <f>F45+F47</f>
        <v/>
      </c>
      <c r="G48" s="42">
        <f>G45+G47</f>
        <v/>
      </c>
      <c r="H48" s="42">
        <f>H45+H47</f>
        <v/>
      </c>
      <c r="I48" s="42">
        <f>I45+I47</f>
        <v/>
      </c>
      <c r="J48" s="42">
        <f>J45+J47</f>
        <v/>
      </c>
      <c r="K48" s="42">
        <f>K45+K47</f>
        <v/>
      </c>
      <c r="L48" s="42">
        <f>L45+L47</f>
        <v/>
      </c>
      <c r="M48" s="42">
        <f>M45+M47</f>
        <v/>
      </c>
      <c r="N48" s="42">
        <f>N45+N47</f>
        <v/>
      </c>
      <c r="O48" s="42">
        <f>O45+O47</f>
        <v/>
      </c>
      <c r="P48" s="42">
        <f>P45+P47</f>
        <v/>
      </c>
      <c r="Q48" s="42">
        <f>Q45+Q47</f>
        <v/>
      </c>
      <c r="R48" s="2" t="n"/>
      <c r="S48" s="2" t="n"/>
      <c r="T48" s="41">
        <f>IF(ISBLANK(C48),"",C48)</f>
        <v/>
      </c>
      <c r="U48" s="41">
        <f>IF(ISBLANK(G48),"",G48)</f>
        <v/>
      </c>
      <c r="V48" s="41">
        <f>IF(ISBLANK(K48),"",K48)</f>
        <v/>
      </c>
      <c r="W48" s="41">
        <f>IF(ISBLANK(O48),"",O48)</f>
        <v/>
      </c>
      <c r="X48" s="41">
        <f>IF(ISBLANK(Q48),"",Q48)</f>
        <v/>
      </c>
      <c r="Y48" s="2" t="n"/>
      <c r="Z48" s="2" t="n"/>
      <c r="AA48" s="49" t="inlineStr">
        <is>
          <t>Eq + NCI</t>
        </is>
      </c>
    </row>
    <row r="49">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c r="AA49" s="2" t="n"/>
    </row>
    <row r="50">
      <c r="A50" s="3" t="inlineStr">
        <is>
          <t>BS Check (TA-TL-TE)</t>
        </is>
      </c>
      <c r="B50" s="58">
        <f>B38-B43-B48</f>
        <v/>
      </c>
      <c r="C50" s="58">
        <f>C38-C43-C48</f>
        <v/>
      </c>
      <c r="D50" s="58">
        <f>D38-D43-D48</f>
        <v/>
      </c>
      <c r="E50" s="58">
        <f>E38-E43-E48</f>
        <v/>
      </c>
      <c r="F50" s="58">
        <f>F38-F43-F48</f>
        <v/>
      </c>
      <c r="G50" s="58">
        <f>G38-G43-G48</f>
        <v/>
      </c>
      <c r="H50" s="58">
        <f>H38-H43-H48</f>
        <v/>
      </c>
      <c r="I50" s="58">
        <f>I38-I43-I48</f>
        <v/>
      </c>
      <c r="J50" s="58">
        <f>J38-J43-J48</f>
        <v/>
      </c>
      <c r="K50" s="58">
        <f>K38-K43-K48</f>
        <v/>
      </c>
      <c r="L50" s="58">
        <f>L38-L43-L48</f>
        <v/>
      </c>
      <c r="M50" s="58">
        <f>M38-M43-M48</f>
        <v/>
      </c>
      <c r="N50" s="58">
        <f>N38-N43-N48</f>
        <v/>
      </c>
      <c r="O50" s="58">
        <f>O38-O43-O48</f>
        <v/>
      </c>
      <c r="P50" s="58">
        <f>P38-P43-P48</f>
        <v/>
      </c>
      <c r="Q50" s="58">
        <f>Q38-Q43-Q48</f>
        <v/>
      </c>
      <c r="R50" s="2" t="n"/>
      <c r="S50" s="2" t="n"/>
      <c r="T50" s="2" t="n"/>
      <c r="U50" s="2" t="n"/>
      <c r="V50" s="2" t="n"/>
      <c r="W50" s="2" t="n"/>
      <c r="X50" s="2" t="n"/>
      <c r="Y50" s="2" t="n"/>
      <c r="Z50" s="2" t="n"/>
      <c r="AA50" s="49" t="inlineStr">
        <is>
          <t>TA − TL − TE  (must = 0; non-zero ⇒ roll-forward inconsistency)</t>
        </is>
      </c>
    </row>
    <row r="51">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c r="AA51" s="2" t="n"/>
    </row>
    <row r="52">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c r="AA52" s="2" t="n"/>
    </row>
    <row r="53">
      <c r="A53" s="59" t="inlineStr">
        <is>
          <t>WC Days (Historical = formula from BS÷PL; Forecast = key input)</t>
        </is>
      </c>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c r="AA53" s="2" t="n"/>
    </row>
    <row r="54">
      <c r="A54" s="2" t="n"/>
      <c r="B54" s="37" t="inlineStr">
        <is>
          <t>FY24Q3</t>
        </is>
      </c>
      <c r="C54" s="37" t="inlineStr">
        <is>
          <t>FY24Q4</t>
        </is>
      </c>
      <c r="D54" s="37" t="inlineStr">
        <is>
          <t>FY25Q1</t>
        </is>
      </c>
      <c r="E54" s="37" t="inlineStr">
        <is>
          <t>FY25Q2</t>
        </is>
      </c>
      <c r="F54" s="37" t="inlineStr">
        <is>
          <t>FY25Q3</t>
        </is>
      </c>
      <c r="G54" s="37" t="inlineStr">
        <is>
          <t>FY25Q4</t>
        </is>
      </c>
      <c r="H54" s="37" t="inlineStr">
        <is>
          <t>FY26Q1</t>
        </is>
      </c>
      <c r="I54" s="37" t="inlineStr">
        <is>
          <t>FY26Q2</t>
        </is>
      </c>
      <c r="J54" s="38" t="inlineStr">
        <is>
          <t>FY26Q3</t>
        </is>
      </c>
      <c r="K54" s="38" t="inlineStr">
        <is>
          <t>FY26Q4</t>
        </is>
      </c>
      <c r="L54" s="38" t="inlineStr">
        <is>
          <t>FY27Q1</t>
        </is>
      </c>
      <c r="M54" s="38" t="inlineStr">
        <is>
          <t>FY27Q2</t>
        </is>
      </c>
      <c r="N54" s="38" t="inlineStr">
        <is>
          <t>FY27Q3</t>
        </is>
      </c>
      <c r="O54" s="38" t="inlineStr">
        <is>
          <t>FY27Q4</t>
        </is>
      </c>
      <c r="P54" s="38" t="inlineStr">
        <is>
          <t>FY28Q1</t>
        </is>
      </c>
      <c r="Q54" s="38" t="inlineStr">
        <is>
          <t>FY28Q2</t>
        </is>
      </c>
      <c r="R54" s="2" t="n"/>
      <c r="S54" s="2" t="n"/>
      <c r="T54" s="39" t="inlineStr">
        <is>
          <t>FY24</t>
        </is>
      </c>
      <c r="U54" s="39" t="inlineStr">
        <is>
          <t>FY25</t>
        </is>
      </c>
      <c r="V54" s="39" t="inlineStr">
        <is>
          <t>FY26</t>
        </is>
      </c>
      <c r="W54" s="39" t="inlineStr">
        <is>
          <t>FY27</t>
        </is>
      </c>
      <c r="X54" s="39" t="inlineStr">
        <is>
          <t>FY28</t>
        </is>
      </c>
      <c r="Y54" s="2" t="n"/>
      <c r="Z54" s="2" t="n"/>
      <c r="AA54" s="2" t="n"/>
    </row>
    <row r="55">
      <c r="A55" s="3" t="inlineStr">
        <is>
          <t>DSO (AR÷Sales×91)</t>
        </is>
      </c>
      <c r="B55" s="60">
        <f>FS!B31/FS!B4*91</f>
        <v/>
      </c>
      <c r="C55" s="60">
        <f>FS!C31/FS!C4*91</f>
        <v/>
      </c>
      <c r="D55" s="60">
        <f>FS!D31/FS!D4*91</f>
        <v/>
      </c>
      <c r="E55" s="60">
        <f>FS!E31/FS!E4*91</f>
        <v/>
      </c>
      <c r="F55" s="60">
        <f>FS!F31/FS!F4*91</f>
        <v/>
      </c>
      <c r="G55" s="60">
        <f>FS!G31/FS!G4*91</f>
        <v/>
      </c>
      <c r="H55" s="60">
        <f>FS!H31/FS!H4*91</f>
        <v/>
      </c>
      <c r="I55" s="60">
        <f>FS!I31/FS!I4*91</f>
        <v/>
      </c>
      <c r="J55" s="61" t="n">
        <v>61</v>
      </c>
      <c r="K55" s="61" t="n">
        <v>58</v>
      </c>
      <c r="L55" s="61" t="n">
        <v>65</v>
      </c>
      <c r="M55" s="61" t="n">
        <v>60</v>
      </c>
      <c r="N55" s="61" t="n">
        <v>61</v>
      </c>
      <c r="O55" s="61" t="n">
        <v>58</v>
      </c>
      <c r="P55" s="61" t="n">
        <v>65</v>
      </c>
      <c r="Q55" s="61" t="n">
        <v>60</v>
      </c>
      <c r="R55" s="2" t="n"/>
      <c r="S55" s="2" t="n"/>
      <c r="T55" s="62">
        <f>IF(ISBLANK(C55),"",C55)</f>
        <v/>
      </c>
      <c r="U55" s="62">
        <f>IF(ISBLANK(G55),"",G55)</f>
        <v/>
      </c>
      <c r="V55" s="62">
        <f>IF(ISBLANK(K55),"",K55)</f>
        <v/>
      </c>
      <c r="W55" s="62">
        <f>IF(ISBLANK(O55),"",O55)</f>
        <v/>
      </c>
      <c r="X55" s="62">
        <f>IF(ISBLANK(Q55),"",Q55)</f>
        <v/>
      </c>
      <c r="Y55" s="2" t="n"/>
      <c r="Z55" s="2" t="n"/>
      <c r="AA55" s="49" t="inlineStr">
        <is>
          <t>Key user input (yellow); historical = AR ÷ Sales × 91</t>
        </is>
      </c>
    </row>
    <row r="56">
      <c r="A56" s="3" t="inlineStr">
        <is>
          <t>DIO (Inv÷COGS×91)</t>
        </is>
      </c>
      <c r="B56" s="60">
        <f>FS!B32/FS!B5*91</f>
        <v/>
      </c>
      <c r="C56" s="60">
        <f>FS!C32/FS!C5*91</f>
        <v/>
      </c>
      <c r="D56" s="60">
        <f>FS!D32/FS!D5*91</f>
        <v/>
      </c>
      <c r="E56" s="60">
        <f>FS!E32/FS!E5*91</f>
        <v/>
      </c>
      <c r="F56" s="60">
        <f>FS!F32/FS!F5*91</f>
        <v/>
      </c>
      <c r="G56" s="60">
        <f>FS!G32/FS!G5*91</f>
        <v/>
      </c>
      <c r="H56" s="60">
        <f>FS!H32/FS!H5*91</f>
        <v/>
      </c>
      <c r="I56" s="60">
        <f>FS!I32/FS!I5*91</f>
        <v/>
      </c>
      <c r="J56" s="63">
        <f>Scenarios!J55</f>
        <v/>
      </c>
      <c r="K56" s="63">
        <f>Scenarios!K55</f>
        <v/>
      </c>
      <c r="L56" s="63">
        <f>Scenarios!L55</f>
        <v/>
      </c>
      <c r="M56" s="63">
        <f>Scenarios!M55</f>
        <v/>
      </c>
      <c r="N56" s="63">
        <f>Scenarios!N55</f>
        <v/>
      </c>
      <c r="O56" s="63">
        <f>Scenarios!O55</f>
        <v/>
      </c>
      <c r="P56" s="63">
        <f>Scenarios!P55</f>
        <v/>
      </c>
      <c r="Q56" s="63">
        <f>Scenarios!Q55</f>
        <v/>
      </c>
      <c r="R56" s="2" t="n"/>
      <c r="S56" s="2" t="n"/>
      <c r="T56" s="62">
        <f>IF(ISBLANK(C56),"",C56)</f>
        <v/>
      </c>
      <c r="U56" s="62">
        <f>IF(ISBLANK(G56),"",G56)</f>
        <v/>
      </c>
      <c r="V56" s="62">
        <f>IF(ISBLANK(K56),"",K56)</f>
        <v/>
      </c>
      <c r="W56" s="62">
        <f>IF(ISBLANK(O56),"",O56)</f>
        <v/>
      </c>
      <c r="X56" s="62">
        <f>IF(ISBLANK(Q56),"",Q56)</f>
        <v/>
      </c>
      <c r="Y56" s="2" t="n"/>
      <c r="Z56" s="2" t="n"/>
      <c r="AA56" s="49" t="inlineStr">
        <is>
          <t>Key user input (yellow); historical = Inv ÷ COGS × 91</t>
        </is>
      </c>
    </row>
    <row r="57">
      <c r="A57" s="3" t="inlineStr">
        <is>
          <t>DPO (AP÷COGS×91)</t>
        </is>
      </c>
      <c r="B57" s="60">
        <f>FS!B40/FS!B5*91</f>
        <v/>
      </c>
      <c r="C57" s="60">
        <f>FS!C40/FS!C5*91</f>
        <v/>
      </c>
      <c r="D57" s="60">
        <f>FS!D40/FS!D5*91</f>
        <v/>
      </c>
      <c r="E57" s="60">
        <f>FS!E40/FS!E5*91</f>
        <v/>
      </c>
      <c r="F57" s="60">
        <f>FS!F40/FS!F5*91</f>
        <v/>
      </c>
      <c r="G57" s="60">
        <f>FS!G40/FS!G5*91</f>
        <v/>
      </c>
      <c r="H57" s="60">
        <f>FS!H40/FS!H5*91</f>
        <v/>
      </c>
      <c r="I57" s="60">
        <f>FS!I40/FS!I5*91</f>
        <v/>
      </c>
      <c r="J57" s="61" t="n">
        <v>71</v>
      </c>
      <c r="K57" s="61" t="n">
        <v>71</v>
      </c>
      <c r="L57" s="61" t="n">
        <v>75</v>
      </c>
      <c r="M57" s="61" t="n">
        <v>74</v>
      </c>
      <c r="N57" s="61" t="n">
        <v>71</v>
      </c>
      <c r="O57" s="61" t="n">
        <v>71</v>
      </c>
      <c r="P57" s="61" t="n">
        <v>75</v>
      </c>
      <c r="Q57" s="61" t="n">
        <v>74</v>
      </c>
      <c r="R57" s="2" t="n"/>
      <c r="S57" s="2" t="n"/>
      <c r="T57" s="62">
        <f>IF(ISBLANK(C57),"",C57)</f>
        <v/>
      </c>
      <c r="U57" s="62">
        <f>IF(ISBLANK(G57),"",G57)</f>
        <v/>
      </c>
      <c r="V57" s="62">
        <f>IF(ISBLANK(K57),"",K57)</f>
        <v/>
      </c>
      <c r="W57" s="62">
        <f>IF(ISBLANK(O57),"",O57)</f>
        <v/>
      </c>
      <c r="X57" s="62">
        <f>IF(ISBLANK(Q57),"",Q57)</f>
        <v/>
      </c>
      <c r="Y57" s="2" t="n"/>
      <c r="Z57" s="2" t="n"/>
      <c r="AA57" s="49" t="inlineStr">
        <is>
          <t>Key user input (yellow); historical = AP ÷ COGS × 91</t>
        </is>
      </c>
    </row>
    <row r="58">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c r="AA58" s="2" t="n"/>
    </row>
    <row r="59">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c r="AA59" s="2" t="n"/>
    </row>
    <row r="60">
      <c r="A60" s="45" t="inlineStr">
        <is>
          <t>Cash Flow (億) — JP cos report CF only at H1+FY. BLUE=actual, BLACK=formula, GREEN=cross-sheet, ORANGE=disclosed-FY.</t>
        </is>
      </c>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c r="AA60" s="2" t="n"/>
    </row>
    <row r="61">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c r="AA61" s="2" t="n"/>
    </row>
    <row r="62">
      <c r="A62" s="6" t="inlineStr">
        <is>
          <t>Line Item</t>
        </is>
      </c>
      <c r="B62" s="37" t="inlineStr">
        <is>
          <t>FY24Q3</t>
        </is>
      </c>
      <c r="C62" s="37" t="inlineStr">
        <is>
          <t>FY24Q4</t>
        </is>
      </c>
      <c r="D62" s="37" t="inlineStr">
        <is>
          <t>FY25Q1</t>
        </is>
      </c>
      <c r="E62" s="37" t="inlineStr">
        <is>
          <t>FY25Q2</t>
        </is>
      </c>
      <c r="F62" s="37" t="inlineStr">
        <is>
          <t>FY25Q3</t>
        </is>
      </c>
      <c r="G62" s="37" t="inlineStr">
        <is>
          <t>FY25Q4</t>
        </is>
      </c>
      <c r="H62" s="37" t="inlineStr">
        <is>
          <t>FY26Q1</t>
        </is>
      </c>
      <c r="I62" s="37" t="inlineStr">
        <is>
          <t>FY26Q2</t>
        </is>
      </c>
      <c r="J62" s="38" t="inlineStr">
        <is>
          <t>FY26Q3</t>
        </is>
      </c>
      <c r="K62" s="38" t="inlineStr">
        <is>
          <t>FY26Q4</t>
        </is>
      </c>
      <c r="L62" s="38" t="inlineStr">
        <is>
          <t>FY27Q1</t>
        </is>
      </c>
      <c r="M62" s="38" t="inlineStr">
        <is>
          <t>FY27Q2</t>
        </is>
      </c>
      <c r="N62" s="38" t="inlineStr">
        <is>
          <t>FY27Q3</t>
        </is>
      </c>
      <c r="O62" s="38" t="inlineStr">
        <is>
          <t>FY27Q4</t>
        </is>
      </c>
      <c r="P62" s="38" t="inlineStr">
        <is>
          <t>FY28Q1</t>
        </is>
      </c>
      <c r="Q62" s="38" t="inlineStr">
        <is>
          <t>FY28Q2</t>
        </is>
      </c>
      <c r="R62" s="2" t="n"/>
      <c r="S62" s="2" t="n"/>
      <c r="T62" s="37" t="inlineStr">
        <is>
          <t>FY24</t>
        </is>
      </c>
      <c r="U62" s="37" t="inlineStr">
        <is>
          <t>FY25</t>
        </is>
      </c>
      <c r="V62" s="39" t="inlineStr">
        <is>
          <t>FY26</t>
        </is>
      </c>
      <c r="W62" s="39" t="inlineStr">
        <is>
          <t>FY27</t>
        </is>
      </c>
      <c r="X62" s="39" t="inlineStr">
        <is>
          <t>FY28</t>
        </is>
      </c>
      <c r="Y62" s="39" t="inlineStr">
        <is>
          <t>FY26 TOTAL</t>
        </is>
      </c>
      <c r="Z62" s="2" t="n"/>
      <c r="AA62" s="46" t="inlineStr">
        <is>
          <t>Forecast Formula (plain English)</t>
        </is>
      </c>
    </row>
    <row r="63">
      <c r="A63" s="3" t="inlineStr">
        <is>
          <t>OCF (営業CF)</t>
        </is>
      </c>
      <c r="B63" s="57" t="n">
        <v>71.2</v>
      </c>
      <c r="C63" s="57" t="n">
        <v>377.4</v>
      </c>
      <c r="D63" s="57" t="n">
        <v>94.5</v>
      </c>
      <c r="E63" s="57" t="n">
        <v>611.3</v>
      </c>
      <c r="F63" s="57" t="n">
        <v>152.4</v>
      </c>
      <c r="G63" s="57" t="n">
        <v>646.1</v>
      </c>
      <c r="H63" s="57" t="n">
        <v>100.6</v>
      </c>
      <c r="I63" s="57" t="n">
        <v>274.8</v>
      </c>
      <c r="J63" s="43">
        <f>J69+J70+J71</f>
        <v/>
      </c>
      <c r="K63" s="43">
        <f>K69+K70+K71</f>
        <v/>
      </c>
      <c r="L63" s="43">
        <f>L69+L70+L71</f>
        <v/>
      </c>
      <c r="M63" s="43">
        <f>M69+M70+M71</f>
        <v/>
      </c>
      <c r="N63" s="43">
        <f>N69+N70+N71</f>
        <v/>
      </c>
      <c r="O63" s="43">
        <f>O69+O70+O71</f>
        <v/>
      </c>
      <c r="P63" s="43">
        <f>P69+P70+P71</f>
        <v/>
      </c>
      <c r="Q63" s="43">
        <f>Q69+Q70+Q71</f>
        <v/>
      </c>
      <c r="R63" s="2" t="n"/>
      <c r="S63" s="2" t="n"/>
      <c r="T63" s="64" t="n">
        <v>1043.2</v>
      </c>
      <c r="U63" s="64" t="n">
        <v>1504.3</v>
      </c>
      <c r="V63" s="43">
        <f>IF(AND(ISBLANK(I63),ISBLANK(K63)),"",SUM(H63:K63))</f>
        <v/>
      </c>
      <c r="W63" s="43">
        <f>IF(AND(ISBLANK(M63),ISBLANK(O63)),"",SUM(L63:O63))</f>
        <v/>
      </c>
      <c r="X63" s="43">
        <f>IF(COUNTBLANK(P63:Q63)&gt;0,"",SUM(P63:Q63))</f>
        <v/>
      </c>
      <c r="Y63" s="42">
        <f>J63+K63+L63+M63+N63+O63+P63+Q63</f>
        <v/>
      </c>
      <c r="Z63" s="2" t="n"/>
      <c r="AA63" s="49" t="inlineStr">
        <is>
          <t>NI + D&amp;A + ΔWC</t>
        </is>
      </c>
    </row>
    <row r="64">
      <c r="A64" s="3" t="inlineStr">
        <is>
          <t>ICF (投資CF)</t>
        </is>
      </c>
      <c r="B64" s="57" t="n">
        <v>-187</v>
      </c>
      <c r="C64" s="57" t="n">
        <v>-96.09999999999999</v>
      </c>
      <c r="D64" s="57" t="n">
        <v>-187.6</v>
      </c>
      <c r="E64" s="57" t="n">
        <v>-1192.8</v>
      </c>
      <c r="F64" s="57" t="n">
        <v>-162.3</v>
      </c>
      <c r="G64" s="57" t="n">
        <v>-322.9</v>
      </c>
      <c r="H64" s="57" t="n">
        <v>-290.3</v>
      </c>
      <c r="I64" s="57" t="n">
        <v>-160.3</v>
      </c>
      <c r="J64" s="43">
        <f>-J73</f>
        <v/>
      </c>
      <c r="K64" s="43">
        <f>-K73</f>
        <v/>
      </c>
      <c r="L64" s="43">
        <f>-L73</f>
        <v/>
      </c>
      <c r="M64" s="43">
        <f>-M73</f>
        <v/>
      </c>
      <c r="N64" s="43">
        <f>-N73</f>
        <v/>
      </c>
      <c r="O64" s="43">
        <f>-O73</f>
        <v/>
      </c>
      <c r="P64" s="43">
        <f>-P73</f>
        <v/>
      </c>
      <c r="Q64" s="43">
        <f>-Q73</f>
        <v/>
      </c>
      <c r="R64" s="2" t="n"/>
      <c r="S64" s="2" t="n"/>
      <c r="T64" s="64" t="n">
        <v>-646.6</v>
      </c>
      <c r="U64" s="64" t="n">
        <v>-1865.6</v>
      </c>
      <c r="V64" s="43">
        <f>IF(AND(ISBLANK(I64),ISBLANK(K64)),"",SUM(H64:K64))</f>
        <v/>
      </c>
      <c r="W64" s="43">
        <f>IF(AND(ISBLANK(M64),ISBLANK(O64)),"",SUM(L64:O64))</f>
        <v/>
      </c>
      <c r="X64" s="43">
        <f>IF(COUNTBLANK(P64:Q64)&gt;0,"",SUM(P64:Q64))</f>
        <v/>
      </c>
      <c r="Y64" s="42">
        <f>J64+K64+L64+M64+N64+O64+P64+Q64</f>
        <v/>
      </c>
      <c r="Z64" s="2" t="n"/>
      <c r="AA64" s="49" t="inlineStr">
        <is>
          <t>− Capex</t>
        </is>
      </c>
    </row>
    <row r="65">
      <c r="A65" s="3" t="inlineStr">
        <is>
          <t>Financing CF (財務CF)</t>
        </is>
      </c>
      <c r="B65" s="57" t="n">
        <v>110.1</v>
      </c>
      <c r="C65" s="57" t="n">
        <v>-27.7</v>
      </c>
      <c r="D65" s="57" t="n">
        <v>-2</v>
      </c>
      <c r="E65" s="57" t="n">
        <v>577</v>
      </c>
      <c r="F65" s="57" t="n">
        <v>146.2</v>
      </c>
      <c r="G65" s="57" t="n">
        <v>-412.5</v>
      </c>
      <c r="H65" s="57" t="n">
        <v>175</v>
      </c>
      <c r="I65" s="57" t="n">
        <v>-141.9</v>
      </c>
      <c r="J65" s="43">
        <f>-J75-J76+J77</f>
        <v/>
      </c>
      <c r="K65" s="43">
        <f>-K75-K76+K77</f>
        <v/>
      </c>
      <c r="L65" s="43">
        <f>-L75-L76+L77</f>
        <v/>
      </c>
      <c r="M65" s="43">
        <f>-M75-M76+M77</f>
        <v/>
      </c>
      <c r="N65" s="43">
        <f>-N75-N76+N77</f>
        <v/>
      </c>
      <c r="O65" s="43">
        <f>-O75-O76+O77</f>
        <v/>
      </c>
      <c r="P65" s="43">
        <f>-P75-P76+P77</f>
        <v/>
      </c>
      <c r="Q65" s="43">
        <f>-Q75-Q76+Q77</f>
        <v/>
      </c>
      <c r="R65" s="2" t="n"/>
      <c r="S65" s="2" t="n"/>
      <c r="T65" s="64" t="n">
        <v>-356.2</v>
      </c>
      <c r="U65" s="64" t="n">
        <v>308.8</v>
      </c>
      <c r="V65" s="43">
        <f>IF(AND(ISBLANK(I65),ISBLANK(K65)),"",SUM(H65:K65))</f>
        <v/>
      </c>
      <c r="W65" s="43">
        <f>IF(AND(ISBLANK(M65),ISBLANK(O65)),"",SUM(L65:O65))</f>
        <v/>
      </c>
      <c r="X65" s="43">
        <f>IF(COUNTBLANK(P65:Q65)&gt;0,"",SUM(P65:Q65))</f>
        <v/>
      </c>
      <c r="Y65" s="42">
        <f>J65+K65+L65+M65+N65+O65+P65+Q65</f>
        <v/>
      </c>
      <c r="Z65" s="2" t="n"/>
      <c r="AA65" s="49" t="inlineStr">
        <is>
          <t>Financing CF (財務CF): − Dividends − Buyback + Net Debt Issuance</t>
        </is>
      </c>
    </row>
    <row r="66">
      <c r="A66" s="3" t="inlineStr">
        <is>
          <t>Net Δcash</t>
        </is>
      </c>
      <c r="B66" s="50">
        <f>B63+B64+B65</f>
        <v/>
      </c>
      <c r="C66" s="50">
        <f>C63+C64+C65</f>
        <v/>
      </c>
      <c r="D66" s="50">
        <f>D63+D64+D65</f>
        <v/>
      </c>
      <c r="E66" s="50">
        <f>E63+E64+E65</f>
        <v/>
      </c>
      <c r="F66" s="50">
        <f>F63+F64+F65</f>
        <v/>
      </c>
      <c r="G66" s="50">
        <f>G63+G64+G65</f>
        <v/>
      </c>
      <c r="H66" s="50">
        <f>H63+H64+H65</f>
        <v/>
      </c>
      <c r="I66" s="50">
        <f>I63+I64+I65</f>
        <v/>
      </c>
      <c r="J66" s="50">
        <f>J63+J64+J65</f>
        <v/>
      </c>
      <c r="K66" s="50">
        <f>K63+K64+K65</f>
        <v/>
      </c>
      <c r="L66" s="50">
        <f>L63+L64+L65</f>
        <v/>
      </c>
      <c r="M66" s="50">
        <f>M63+M64+M65</f>
        <v/>
      </c>
      <c r="N66" s="50">
        <f>N63+N64+N65</f>
        <v/>
      </c>
      <c r="O66" s="50">
        <f>O63+O64+O65</f>
        <v/>
      </c>
      <c r="P66" s="50">
        <f>P63+P64+P65</f>
        <v/>
      </c>
      <c r="Q66" s="50">
        <f>Q63+Q64+Q65</f>
        <v/>
      </c>
      <c r="R66" s="2" t="n"/>
      <c r="S66" s="2" t="n"/>
      <c r="T66" s="43">
        <f>IF(COUNTBLANK(B66:C66)&gt;0,"",SUM(B66:C66))</f>
        <v/>
      </c>
      <c r="U66" s="43">
        <f>IF(AND(ISBLANK(E66),ISBLANK(G66)),"",SUM(D66:G66))</f>
        <v/>
      </c>
      <c r="V66" s="43">
        <f>IF(AND(ISBLANK(I66),ISBLANK(K66)),"",SUM(H66:K66))</f>
        <v/>
      </c>
      <c r="W66" s="43">
        <f>IF(AND(ISBLANK(M66),ISBLANK(O66)),"",SUM(L66:O66))</f>
        <v/>
      </c>
      <c r="X66" s="43">
        <f>IF(COUNTBLANK(P66:Q66)&gt;0,"",SUM(P66:Q66))</f>
        <v/>
      </c>
      <c r="Y66" s="42">
        <f>J66+K66+L66+M66+N66+O66+P66+Q66</f>
        <v/>
      </c>
      <c r="Z66" s="2" t="n"/>
      <c r="AA66" s="49" t="inlineStr">
        <is>
          <t>OCF + ICF + Financing CF</t>
        </is>
      </c>
    </row>
    <row r="67">
      <c r="A67" s="3" t="inlineStr">
        <is>
          <t>Free CF (OCF+ICF)</t>
        </is>
      </c>
      <c r="B67" s="42">
        <f>B63+B64</f>
        <v/>
      </c>
      <c r="C67" s="42">
        <f>C63+C64</f>
        <v/>
      </c>
      <c r="D67" s="42">
        <f>D63+D64</f>
        <v/>
      </c>
      <c r="E67" s="42">
        <f>E63+E64</f>
        <v/>
      </c>
      <c r="F67" s="42">
        <f>F63+F64</f>
        <v/>
      </c>
      <c r="G67" s="42">
        <f>G63+G64</f>
        <v/>
      </c>
      <c r="H67" s="42">
        <f>H63+H64</f>
        <v/>
      </c>
      <c r="I67" s="42">
        <f>I63+I64</f>
        <v/>
      </c>
      <c r="J67" s="42">
        <f>J63+J64</f>
        <v/>
      </c>
      <c r="K67" s="42">
        <f>K63+K64</f>
        <v/>
      </c>
      <c r="L67" s="42">
        <f>L63+L64</f>
        <v/>
      </c>
      <c r="M67" s="42">
        <f>M63+M64</f>
        <v/>
      </c>
      <c r="N67" s="42">
        <f>N63+N64</f>
        <v/>
      </c>
      <c r="O67" s="42">
        <f>O63+O64</f>
        <v/>
      </c>
      <c r="P67" s="42">
        <f>P63+P64</f>
        <v/>
      </c>
      <c r="Q67" s="42">
        <f>Q63+Q64</f>
        <v/>
      </c>
      <c r="R67" s="2" t="n"/>
      <c r="S67" s="2" t="n"/>
      <c r="T67" s="42">
        <f>T63+T64</f>
        <v/>
      </c>
      <c r="U67" s="42">
        <f>U63+U64</f>
        <v/>
      </c>
      <c r="V67" s="42">
        <f>V63+V64</f>
        <v/>
      </c>
      <c r="W67" s="42">
        <f>W63+W64</f>
        <v/>
      </c>
      <c r="X67" s="42">
        <f>X63+X64</f>
        <v/>
      </c>
      <c r="Y67" s="42">
        <f>Y63+Y64</f>
        <v/>
      </c>
      <c r="Z67" s="2" t="n"/>
      <c r="AA67" s="49" t="inlineStr">
        <is>
          <t>Free CF = OCF + ICF  (= 会社フリーCF)</t>
        </is>
      </c>
    </row>
    <row r="68">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c r="AA68" s="2" t="n"/>
    </row>
    <row r="69">
      <c r="A69" s="3" t="inlineStr">
        <is>
          <t xml:space="preserve">  + NI</t>
        </is>
      </c>
      <c r="B69" s="9">
        <f>FS!B18</f>
        <v/>
      </c>
      <c r="C69" s="9">
        <f>FS!C18</f>
        <v/>
      </c>
      <c r="D69" s="9">
        <f>FS!D18</f>
        <v/>
      </c>
      <c r="E69" s="9">
        <f>FS!E18</f>
        <v/>
      </c>
      <c r="F69" s="9">
        <f>FS!F18</f>
        <v/>
      </c>
      <c r="G69" s="9">
        <f>FS!G18</f>
        <v/>
      </c>
      <c r="H69" s="9">
        <f>FS!H18</f>
        <v/>
      </c>
      <c r="I69" s="9">
        <f>FS!I18</f>
        <v/>
      </c>
      <c r="J69" s="47">
        <f>FS!J18</f>
        <v/>
      </c>
      <c r="K69" s="47">
        <f>FS!K18</f>
        <v/>
      </c>
      <c r="L69" s="47">
        <f>FS!L18</f>
        <v/>
      </c>
      <c r="M69" s="47">
        <f>FS!M18</f>
        <v/>
      </c>
      <c r="N69" s="47">
        <f>FS!N18</f>
        <v/>
      </c>
      <c r="O69" s="47">
        <f>FS!O18</f>
        <v/>
      </c>
      <c r="P69" s="47">
        <f>FS!P18</f>
        <v/>
      </c>
      <c r="Q69" s="47">
        <f>FS!Q18</f>
        <v/>
      </c>
      <c r="R69" s="2" t="n"/>
      <c r="S69" s="2" t="n"/>
      <c r="T69" s="41">
        <f>IF(COUNTBLANK(B69:C69)&gt;0,"",SUM(B69:C69))</f>
        <v/>
      </c>
      <c r="U69" s="41">
        <f>IF(AND(ISBLANK(E69),ISBLANK(G69)),"",SUM(D69:G69))</f>
        <v/>
      </c>
      <c r="V69" s="41">
        <f>IF(AND(ISBLANK(I69),ISBLANK(K69)),"",SUM(H69:K69))</f>
        <v/>
      </c>
      <c r="W69" s="41">
        <f>IF(AND(ISBLANK(M69),ISBLANK(O69)),"",SUM(L69:O69))</f>
        <v/>
      </c>
      <c r="X69" s="41">
        <f>IF(COUNTBLANK(P69:Q69)&gt;0,"",SUM(P69:Q69))</f>
        <v/>
      </c>
      <c r="Y69" s="2" t="n"/>
      <c r="Z69" s="2" t="n"/>
      <c r="AA69" s="49" t="inlineStr">
        <is>
          <t>from PL Net Income</t>
        </is>
      </c>
    </row>
    <row r="70">
      <c r="A70" s="3" t="inlineStr">
        <is>
          <t xml:space="preserve">  + D&amp;A</t>
        </is>
      </c>
      <c r="B70" s="10" t="n">
        <v>209</v>
      </c>
      <c r="C70" s="10" t="n">
        <v>206.3</v>
      </c>
      <c r="D70" s="10" t="n">
        <v>183.2</v>
      </c>
      <c r="E70" s="10" t="n">
        <v>196.4</v>
      </c>
      <c r="F70" s="10" t="n">
        <v>205.1</v>
      </c>
      <c r="G70" s="10" t="n">
        <v>201.9</v>
      </c>
      <c r="H70" s="10" t="n">
        <v>217</v>
      </c>
      <c r="I70" s="10" t="n">
        <v>216.3</v>
      </c>
      <c r="J70" s="47">
        <f>FS!I36*FS!$B$100</f>
        <v/>
      </c>
      <c r="K70" s="47">
        <f>FS!J36*FS!$B$100</f>
        <v/>
      </c>
      <c r="L70" s="47">
        <f>FS!K36*FS!$B$100</f>
        <v/>
      </c>
      <c r="M70" s="47">
        <f>FS!L36*FS!$B$100</f>
        <v/>
      </c>
      <c r="N70" s="47">
        <f>FS!M36*FS!$B$100</f>
        <v/>
      </c>
      <c r="O70" s="47">
        <f>FS!N36*FS!$B$100</f>
        <v/>
      </c>
      <c r="P70" s="47">
        <f>FS!O36*FS!$B$100</f>
        <v/>
      </c>
      <c r="Q70" s="47">
        <f>FS!P36*FS!$B$100</f>
        <v/>
      </c>
      <c r="R70" s="2" t="n"/>
      <c r="S70" s="2" t="n"/>
      <c r="T70" s="41">
        <f>IF(COUNTBLANK(B70:C70)&gt;0,"",SUM(B70:C70))</f>
        <v/>
      </c>
      <c r="U70" s="41">
        <f>IF(AND(ISBLANK(E70),ISBLANK(G70)),"",SUM(D70:G70))</f>
        <v/>
      </c>
      <c r="V70" s="41">
        <f>IF(AND(ISBLANK(I70),ISBLANK(K70)),"",SUM(H70:K70))</f>
        <v/>
      </c>
      <c r="W70" s="41">
        <f>IF(AND(ISBLANK(M70),ISBLANK(O70)),"",SUM(L70:O70))</f>
        <v/>
      </c>
      <c r="X70" s="41">
        <f>IF(COUNTBLANK(P70:Q70)&gt;0,"",SUM(P70:Q70))</f>
        <v/>
      </c>
      <c r="Y70" s="2" t="n"/>
      <c r="Z70" s="2" t="n"/>
      <c r="AA70" s="49" t="inlineStr">
        <is>
          <t>Prior PPE × 4.39%/Q  (calibrated to the disclosed guide 210億/Q at the latest PPE; rises with PPE thereafter)  (depreciation)</t>
        </is>
      </c>
    </row>
    <row r="71">
      <c r="A71" s="3" t="inlineStr">
        <is>
          <t xml:space="preserve">  + ΔWC</t>
        </is>
      </c>
      <c r="B71" s="2" t="n"/>
      <c r="C71" s="9">
        <f>-(FS!C31-FS!B31)-(FS!C32-FS!B32)+(FS!C40-FS!B40)</f>
        <v/>
      </c>
      <c r="D71" s="9">
        <f>-(FS!D31-FS!C31)-(FS!D32-FS!C32)+(FS!D40-FS!C40)</f>
        <v/>
      </c>
      <c r="E71" s="9">
        <f>-(FS!E31-FS!D31)-(FS!E32-FS!D32)+(FS!E40-FS!D40)</f>
        <v/>
      </c>
      <c r="F71" s="9">
        <f>-(FS!F31-FS!E31)-(FS!F32-FS!E32)+(FS!F40-FS!E40)</f>
        <v/>
      </c>
      <c r="G71" s="9">
        <f>-(FS!G31-FS!F31)-(FS!G32-FS!F32)+(FS!G40-FS!F40)</f>
        <v/>
      </c>
      <c r="H71" s="9">
        <f>-(FS!H31-FS!G31)-(FS!H32-FS!G32)+(FS!H40-FS!G40)</f>
        <v/>
      </c>
      <c r="I71" s="9">
        <f>-(FS!I31-FS!H31)-(FS!I32-FS!H32)+(FS!I40-FS!H40)</f>
        <v/>
      </c>
      <c r="J71" s="47">
        <f>-(FS!J31-FS!I31)-(FS!J32-FS!I32)+(FS!J40-FS!I40)</f>
        <v/>
      </c>
      <c r="K71" s="47">
        <f>-(FS!K31-FS!J31)-(FS!K32-FS!J32)+(FS!K40-FS!J40)</f>
        <v/>
      </c>
      <c r="L71" s="47">
        <f>-(FS!L31-FS!K31)-(FS!L32-FS!K32)+(FS!L40-FS!K40)</f>
        <v/>
      </c>
      <c r="M71" s="47">
        <f>-(FS!M31-FS!L31)-(FS!M32-FS!L32)+(FS!M40-FS!L40)</f>
        <v/>
      </c>
      <c r="N71" s="47">
        <f>-(FS!N31-FS!M31)-(FS!N32-FS!M32)+(FS!N40-FS!M40)</f>
        <v/>
      </c>
      <c r="O71" s="47">
        <f>-(FS!O31-FS!N31)-(FS!O32-FS!N32)+(FS!O40-FS!N40)</f>
        <v/>
      </c>
      <c r="P71" s="47">
        <f>-(FS!P31-FS!O31)-(FS!P32-FS!O32)+(FS!P40-FS!O40)</f>
        <v/>
      </c>
      <c r="Q71" s="47">
        <f>-(FS!Q31-FS!P31)-(FS!Q32-FS!P32)+(FS!Q40-FS!P40)</f>
        <v/>
      </c>
      <c r="R71" s="2" t="n"/>
      <c r="S71" s="2" t="n"/>
      <c r="T71" s="41">
        <f>IF(COUNTBLANK(B71:C71)&gt;0,"",SUM(B71:C71))</f>
        <v/>
      </c>
      <c r="U71" s="41">
        <f>IF(AND(ISBLANK(E71),ISBLANK(G71)),"",SUM(D71:G71))</f>
        <v/>
      </c>
      <c r="V71" s="41">
        <f>IF(AND(ISBLANK(I71),ISBLANK(K71)),"",SUM(H71:K71))</f>
        <v/>
      </c>
      <c r="W71" s="41">
        <f>IF(AND(ISBLANK(M71),ISBLANK(O71)),"",SUM(L71:O71))</f>
        <v/>
      </c>
      <c r="X71" s="41">
        <f>IF(COUNTBLANK(P71:Q71)&gt;0,"",SUM(P71:Q71))</f>
        <v/>
      </c>
      <c r="Y71" s="2" t="n"/>
      <c r="Z71" s="2" t="n"/>
      <c r="AA71" s="49" t="inlineStr">
        <is>
          <t>− ΔAR − ΔInv + ΔAP  (working capital change)</t>
        </is>
      </c>
    </row>
    <row r="72">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c r="AA72" s="2" t="n"/>
    </row>
    <row r="73">
      <c r="A73" s="3" t="inlineStr">
        <is>
          <t xml:space="preserve">  − Capex</t>
        </is>
      </c>
      <c r="B73" s="10" t="n">
        <v>144.7</v>
      </c>
      <c r="C73" s="10" t="n">
        <v>151.9</v>
      </c>
      <c r="D73" s="10" t="n">
        <v>134.6</v>
      </c>
      <c r="E73" s="10" t="n">
        <v>167.5</v>
      </c>
      <c r="F73" s="10" t="n">
        <v>115.9</v>
      </c>
      <c r="G73" s="10" t="n">
        <v>171</v>
      </c>
      <c r="H73" s="10" t="n">
        <v>249.9</v>
      </c>
      <c r="I73" s="10" t="n">
        <v>169</v>
      </c>
      <c r="J73" s="41">
        <f>$B$80</f>
        <v/>
      </c>
      <c r="K73" s="41">
        <f>$B$80</f>
        <v/>
      </c>
      <c r="L73" s="41">
        <f>$B$80</f>
        <v/>
      </c>
      <c r="M73" s="41">
        <f>$B$80</f>
        <v/>
      </c>
      <c r="N73" s="41">
        <f>$B$80</f>
        <v/>
      </c>
      <c r="O73" s="41">
        <f>$B$80</f>
        <v/>
      </c>
      <c r="P73" s="41">
        <f>$B$80</f>
        <v/>
      </c>
      <c r="Q73" s="41">
        <f>$B$80</f>
        <v/>
      </c>
      <c r="R73" s="2" t="n"/>
      <c r="S73" s="2" t="n"/>
      <c r="T73" s="41">
        <f>IF(COUNTBLANK(B73:C73)&gt;0,"",SUM(B73:C73))</f>
        <v/>
      </c>
      <c r="U73" s="41">
        <f>IF(AND(ISBLANK(E73),ISBLANK(G73)),"",SUM(D73:G73))</f>
        <v/>
      </c>
      <c r="V73" s="41">
        <f>IF(AND(ISBLANK(I73),ISBLANK(K73)),"",SUM(H73:K73))</f>
        <v/>
      </c>
      <c r="W73" s="41">
        <f>IF(AND(ISBLANK(M73),ISBLANK(O73)),"",SUM(L73:O73))</f>
        <v/>
      </c>
      <c r="X73" s="41">
        <f>IF(COUNTBLANK(P73:Q73)&gt;0,"",SUM(P73:Q73))</f>
        <v/>
      </c>
      <c r="Y73" s="42">
        <f>J73+K73+L73+M73+N73+O73+P73+Q73</f>
        <v/>
      </c>
      <c r="Z73" s="2" t="n"/>
      <c r="AA73" s="49" t="inlineStr">
        <is>
          <t>Capex/Q assumption (176.0億, edit on Summary)</t>
        </is>
      </c>
    </row>
    <row r="74">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c r="AA74" s="2" t="n"/>
    </row>
    <row r="75">
      <c r="A75" s="3" t="inlineStr">
        <is>
          <t xml:space="preserve">  − Dividends</t>
        </is>
      </c>
      <c r="B75" s="10" t="n">
        <v>75.09999999999999</v>
      </c>
      <c r="C75" s="10" t="n">
        <v>1.2</v>
      </c>
      <c r="D75" s="10" t="n">
        <v>75.09999999999999</v>
      </c>
      <c r="E75" s="10" t="n">
        <v>1.2</v>
      </c>
      <c r="F75" s="10" t="n">
        <v>90.5</v>
      </c>
      <c r="G75" s="10" t="n">
        <v>1.4</v>
      </c>
      <c r="H75" s="10" t="n">
        <v>108.8</v>
      </c>
      <c r="I75" s="10" t="n">
        <v>1.5</v>
      </c>
      <c r="J75" s="47">
        <f>FS!J23*FS!J21/100</f>
        <v/>
      </c>
      <c r="K75" s="47">
        <f>FS!K23*FS!K21/100</f>
        <v/>
      </c>
      <c r="L75" s="47">
        <f>FS!L23*FS!L21/100</f>
        <v/>
      </c>
      <c r="M75" s="47">
        <f>FS!M23*FS!M21/100</f>
        <v/>
      </c>
      <c r="N75" s="47">
        <f>FS!N23*FS!N21/100</f>
        <v/>
      </c>
      <c r="O75" s="47">
        <f>FS!O23*FS!O21/100</f>
        <v/>
      </c>
      <c r="P75" s="47">
        <f>FS!P23*FS!P21/100</f>
        <v/>
      </c>
      <c r="Q75" s="47">
        <f>FS!Q23*FS!Q21/100</f>
        <v/>
      </c>
      <c r="R75" s="2" t="n"/>
      <c r="S75" s="2" t="n"/>
      <c r="T75" s="41">
        <f>IF(COUNTBLANK(B75:C75)&gt;0,"",SUM(B75:C75))</f>
        <v/>
      </c>
      <c r="U75" s="41">
        <f>IF(AND(ISBLANK(E75),ISBLANK(G75)),"",SUM(D75:G75))</f>
        <v/>
      </c>
      <c r="V75" s="41">
        <f>IF(AND(ISBLANK(I75),ISBLANK(K75)),"",SUM(H75:K75))</f>
        <v/>
      </c>
      <c r="W75" s="41">
        <f>IF(AND(ISBLANK(M75),ISBLANK(O75)),"",SUM(L75:O75))</f>
        <v/>
      </c>
      <c r="X75" s="41">
        <f>IF(COUNTBLANK(P75:Q75)&gt;0,"",SUM(P75:Q75))</f>
        <v/>
      </c>
      <c r="Y75" s="42">
        <f>J75+K75+L75+M75+N75+O75+P75+Q75</f>
        <v/>
      </c>
      <c r="Z75" s="2" t="n"/>
      <c r="AA75" s="49" t="inlineStr">
        <is>
          <t>DPS × Shares (M) / 100</t>
        </is>
      </c>
    </row>
    <row r="76">
      <c r="A76" s="3" t="inlineStr">
        <is>
          <t xml:space="preserve">  − Buyback</t>
        </is>
      </c>
      <c r="B76" s="2" t="n"/>
      <c r="C76" s="2" t="n"/>
      <c r="D76" s="2" t="n"/>
      <c r="E76" s="2" t="n"/>
      <c r="F76" s="2" t="n"/>
      <c r="G76" s="2" t="n"/>
      <c r="H76" s="2" t="n"/>
      <c r="I76" s="2" t="n"/>
      <c r="J76" s="41">
        <f>$B$81</f>
        <v/>
      </c>
      <c r="K76" s="41">
        <f>$B$81</f>
        <v/>
      </c>
      <c r="L76" s="41">
        <f>$B$81</f>
        <v/>
      </c>
      <c r="M76" s="41">
        <f>$B$81</f>
        <v/>
      </c>
      <c r="N76" s="41">
        <f>$B$81</f>
        <v/>
      </c>
      <c r="O76" s="41">
        <f>$B$81</f>
        <v/>
      </c>
      <c r="P76" s="41">
        <f>$B$81</f>
        <v/>
      </c>
      <c r="Q76" s="41">
        <f>$B$81</f>
        <v/>
      </c>
      <c r="R76" s="2" t="n"/>
      <c r="S76" s="2" t="n"/>
      <c r="T76" s="41">
        <f>IF(COUNTBLANK(B76:C76)&gt;0,"",SUM(B76:C76))</f>
        <v/>
      </c>
      <c r="U76" s="41">
        <f>IF(AND(ISBLANK(E76),ISBLANK(G76)),"",SUM(D76:G76))</f>
        <v/>
      </c>
      <c r="V76" s="41">
        <f>IF(AND(ISBLANK(I76),ISBLANK(K76)),"",SUM(H76:K76))</f>
        <v/>
      </c>
      <c r="W76" s="41">
        <f>IF(AND(ISBLANK(M76),ISBLANK(O76)),"",SUM(L76:O76))</f>
        <v/>
      </c>
      <c r="X76" s="41">
        <f>IF(COUNTBLANK(P76:Q76)&gt;0,"",SUM(P76:Q76))</f>
        <v/>
      </c>
      <c r="Y76" s="2" t="n"/>
      <c r="Z76" s="2" t="n"/>
      <c r="AA76" s="49" t="inlineStr">
        <is>
          <t>Buyback/Q assumption (edit on Summary; seeded from tdnet when announced)</t>
        </is>
      </c>
    </row>
    <row r="77">
      <c r="A77" s="3" t="inlineStr">
        <is>
          <t xml:space="preserve">  + Net Debt Iss</t>
        </is>
      </c>
      <c r="B77" s="2" t="n"/>
      <c r="C77" s="9">
        <f>FS!C41-FS!B41</f>
        <v/>
      </c>
      <c r="D77" s="9">
        <f>FS!D41-FS!C41</f>
        <v/>
      </c>
      <c r="E77" s="9">
        <f>FS!E41-FS!D41</f>
        <v/>
      </c>
      <c r="F77" s="9">
        <f>FS!F41-FS!E41</f>
        <v/>
      </c>
      <c r="G77" s="9">
        <f>FS!G41-FS!F41</f>
        <v/>
      </c>
      <c r="H77" s="9">
        <f>FS!H41-FS!G41</f>
        <v/>
      </c>
      <c r="I77" s="9">
        <f>FS!I41-FS!H41</f>
        <v/>
      </c>
      <c r="J77" s="10" t="n">
        <v>0</v>
      </c>
      <c r="K77" s="10" t="n">
        <v>0</v>
      </c>
      <c r="L77" s="10" t="n">
        <v>0</v>
      </c>
      <c r="M77" s="10" t="n">
        <v>0</v>
      </c>
      <c r="N77" s="10" t="n">
        <v>0</v>
      </c>
      <c r="O77" s="10" t="n">
        <v>0</v>
      </c>
      <c r="P77" s="10" t="n">
        <v>0</v>
      </c>
      <c r="Q77" s="10" t="n">
        <v>0</v>
      </c>
      <c r="R77" s="2" t="n"/>
      <c r="S77" s="2" t="n"/>
      <c r="T77" s="41">
        <f>IF(COUNTBLANK(B77:C77)&gt;0,"",SUM(B77:C77))</f>
        <v/>
      </c>
      <c r="U77" s="41">
        <f>IF(AND(ISBLANK(E77),ISBLANK(G77)),"",SUM(D77:G77))</f>
        <v/>
      </c>
      <c r="V77" s="41">
        <f>IF(AND(ISBLANK(I77),ISBLANK(K77)),"",SUM(H77:K77))</f>
        <v/>
      </c>
      <c r="W77" s="41">
        <f>IF(AND(ISBLANK(M77),ISBLANK(O77)),"",SUM(L77:O77))</f>
        <v/>
      </c>
      <c r="X77" s="41">
        <f>IF(COUNTBLANK(P77:Q77)&gt;0,"",SUM(P77:Q77))</f>
        <v/>
      </c>
      <c r="Y77" s="2" t="n"/>
      <c r="Z77" s="2" t="n"/>
      <c r="AA77" s="49" t="inlineStr">
        <is>
          <t>Held = 0</t>
        </is>
      </c>
    </row>
    <row r="78">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c r="AA78" s="2" t="n"/>
    </row>
    <row r="79">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c r="AA79" s="2" t="n"/>
    </row>
    <row r="80">
      <c r="A80" s="3" t="inlineStr">
        <is>
          <t>Capex per Q (億)  [edit on Summary B22]</t>
        </is>
      </c>
      <c r="B80" s="9">
        <f>FS!$B$95</f>
        <v/>
      </c>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c r="AA80" s="2" t="n"/>
    </row>
    <row r="81">
      <c r="A81" s="3" t="inlineStr">
        <is>
          <t>Buyback per Q (億)  [edit on Summary B23]</t>
        </is>
      </c>
      <c r="B81" s="9">
        <f>FS!$B$96</f>
        <v/>
      </c>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c r="AA81" s="2" t="n"/>
    </row>
    <row r="82">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c r="AA82" s="2" t="n"/>
    </row>
    <row r="83">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c r="AA83" s="2" t="n"/>
    </row>
    <row r="84">
      <c r="A84" s="59" t="inlineStr">
        <is>
          <t>Live Assumptions  ─ edit cells in column B; only forward periods recompute</t>
        </is>
      </c>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c r="AA84" s="2" t="n"/>
    </row>
    <row r="85">
      <c r="A85" s="2" t="inlineStr">
        <is>
          <t>Tax rate %</t>
        </is>
      </c>
      <c r="B85" s="65" t="n">
        <v>31.2</v>
      </c>
      <c r="C85" s="66" t="inlineStr">
        <is>
          <t>ΣTax/ΣPretax actual (ratio-of-sums), n=16</t>
        </is>
      </c>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c r="AA85" s="2" t="n"/>
    </row>
    <row r="86">
      <c r="A86" s="2" t="inlineStr">
        <is>
          <t>NonOp/OP %</t>
        </is>
      </c>
      <c r="B86" s="65" t="n">
        <v>-4.3</v>
      </c>
      <c r="C86" s="66" t="inlineStr">
        <is>
          <t>直近6四半期(FY25Q1-FY26Q2) Σ税前1155.5 ÷ ΣOP1207.4 − 1。減損期FY24Q3を除外</t>
        </is>
      </c>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c r="AA86" s="2" t="n"/>
    </row>
    <row r="87">
      <c r="A87" s="2" t="inlineStr">
        <is>
          <t>SG&amp;A/Sales %</t>
        </is>
      </c>
      <c r="B87" s="65" t="n">
        <v>24</v>
      </c>
      <c r="C87" s="66" t="inlineStr">
        <is>
          <t>yaml override (recent run-rate)</t>
        </is>
      </c>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c r="AA87" s="2" t="n"/>
    </row>
    <row r="88">
      <c r="A88" s="2" t="inlineStr">
        <is>
          <t>Payout %</t>
        </is>
      </c>
      <c r="B88" s="65" t="n">
        <v>40</v>
      </c>
      <c r="C88" s="66" t="inlineStr">
        <is>
          <t>config: fixed policy</t>
        </is>
      </c>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c r="AA88" s="2" t="n"/>
    </row>
    <row r="89">
      <c r="A89" s="2" t="inlineStr">
        <is>
          <t>Shares (M)</t>
        </is>
      </c>
      <c r="B89" s="10" t="n">
        <v>262.8</v>
      </c>
      <c r="C89" s="66" t="inlineStr">
        <is>
          <t>fins_summary ShOutFY(263M)-TrShFY(0M)</t>
        </is>
      </c>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c r="AA89" s="2" t="n"/>
    </row>
    <row r="90">
      <c r="A90" s="2" t="inlineStr">
        <is>
          <t>PPE/TA ratio</t>
        </is>
      </c>
      <c r="B90" s="67" t="n">
        <v>0.341</v>
      </c>
      <c r="C90" s="66" t="inlineStr">
        <is>
          <t>5y mean PPE/TA from fins_details, n=19</t>
        </is>
      </c>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c r="AA90" s="2" t="n"/>
    </row>
    <row r="91">
      <c r="A91" s="2" t="inlineStr">
        <is>
          <t>RE/Eq ratio</t>
        </is>
      </c>
      <c r="B91" s="67" t="n">
        <v>0.803</v>
      </c>
      <c r="C91" s="66" t="inlineStr">
        <is>
          <t>5y mean RE/Eq from fins_details, n=19</t>
        </is>
      </c>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c r="AA91" s="2" t="n"/>
    </row>
    <row r="92">
      <c r="A92" s="2" t="inlineStr">
        <is>
          <t>DSO (days)</t>
        </is>
      </c>
      <c r="B92" s="68" t="n">
        <v>61</v>
      </c>
      <c r="C92" s="66" t="inlineStr">
        <is>
          <t>実績8四半期(FY24Q3-FY26Q2) AR÷売上×91 の平均。FY25末残高2,093.2億は有報XBRLと一致</t>
        </is>
      </c>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c r="AA92" s="2" t="n"/>
    </row>
    <row r="93">
      <c r="A93" s="2" t="inlineStr">
        <is>
          <t>DIO (days)</t>
        </is>
      </c>
      <c r="B93" s="68" t="n">
        <v>130</v>
      </c>
      <c r="C93" s="66" t="inlineStr">
        <is>
          <t>実績8四半期 棚卸資産÷売上原価×91 の平均。FY25末残高2,981.2億は有報XBRLと一致</t>
        </is>
      </c>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c r="AA93" s="2" t="n"/>
    </row>
    <row r="94">
      <c r="A94" s="2" t="inlineStr">
        <is>
          <t>DPO (days)</t>
        </is>
      </c>
      <c r="B94" s="68" t="n">
        <v>73</v>
      </c>
      <c r="C94" s="66" t="inlineStr">
        <is>
          <t>実績8四半期 仕入債務÷売上原価×91 の平均。FY25末残高1,810.5億は有報XBRLと一致</t>
        </is>
      </c>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c r="AA94" s="2" t="n"/>
    </row>
    <row r="95">
      <c r="A95" s="2" t="inlineStr">
        <is>
          <t>Capex/Q (億)</t>
        </is>
      </c>
      <c r="B95" s="69" t="n">
        <v>176</v>
      </c>
      <c r="C95" s="66" t="inlineStr">
        <is>
          <t>yaml override (disclosed)</t>
        </is>
      </c>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c r="AA95" s="2" t="n"/>
    </row>
    <row r="96">
      <c r="A96" s="2" t="inlineStr">
        <is>
          <t>Buyback/Q (億)</t>
        </is>
      </c>
      <c r="B96" s="69" t="n">
        <v>0</v>
      </c>
      <c r="C96" s="66" t="inlineStr">
        <is>
          <t>default (no announcement)</t>
        </is>
      </c>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c r="AA96" s="2" t="n"/>
    </row>
    <row r="97">
      <c r="A97" s="2" t="inlineStr">
        <is>
          <t>Beta (5y vs TPX)</t>
        </is>
      </c>
      <c r="B97" s="70" t="n">
        <v>1.074</v>
      </c>
      <c r="C97" s="66" t="inlineStr">
        <is>
          <t>daily-return OLS vs TOPIX, 5y window</t>
        </is>
      </c>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c r="AA97" s="2" t="n"/>
    </row>
    <row r="98">
      <c r="A98" s="2" t="inlineStr">
        <is>
          <t>WACC %</t>
        </is>
      </c>
      <c r="B98" s="33" t="n">
        <v>6.87</v>
      </c>
      <c r="C98" s="66" t="inlineStr">
        <is>
          <t>equity-only (Rf + β × ERP); net-cash firm</t>
        </is>
      </c>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c r="AA98" s="2" t="n"/>
    </row>
    <row r="99">
      <c r="A99" s="2" t="inlineStr">
        <is>
          <t>Buyback Avg Px (¥)</t>
        </is>
      </c>
      <c r="B99" s="71" t="n">
        <v>1919</v>
      </c>
      <c r="C99" s="66" t="inlineStr">
        <is>
          <t>user input</t>
        </is>
      </c>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c r="AA99" s="2" t="n"/>
    </row>
    <row r="100">
      <c r="A100" s="2" t="inlineStr">
        <is>
          <t>D&amp;A rate / Q</t>
        </is>
      </c>
      <c r="B100" s="72" t="n">
        <v>0.0439</v>
      </c>
      <c r="C100" s="66" t="inlineStr">
        <is>
          <t>yaml da_per_q_oku 210億 ÷ latest PPE 4,783億 (disclosed guide, not 5y ratio)</t>
        </is>
      </c>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c r="AA100" s="2" t="n"/>
    </row>
    <row r="101">
      <c r="A101" s="2" t="inlineStr">
        <is>
          <t>Minority/Pretax %</t>
        </is>
      </c>
      <c r="B101" s="65" t="n">
        <v>3.7</v>
      </c>
      <c r="C101" s="66" t="inlineStr">
        <is>
          <t>税前が正の直近7四半期 Σ(税前-税-親会社NP)45.7 ÷ Σ税前1241.2</t>
        </is>
      </c>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c r="AA101" s="2"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59"/>
  <sheetViews>
    <sheetView workbookViewId="0">
      <selection activeCell="A1" sqref="A1"/>
    </sheetView>
  </sheetViews>
  <sheetFormatPr baseColWidth="8" defaultRowHeight="15"/>
  <cols>
    <col width="36" customWidth="1" min="1" max="1"/>
    <col width="16" customWidth="1" min="2" max="2"/>
    <col width="16" customWidth="1" min="3" max="3"/>
    <col width="16" customWidth="1" min="4" max="4"/>
    <col width="24" customWidth="1" min="6" max="6"/>
    <col width="12" customWidth="1" min="7" max="7"/>
    <col width="12" customWidth="1" min="8" max="8"/>
    <col width="11" customWidth="1" min="9" max="9"/>
    <col width="10" customWidth="1" min="10" max="10"/>
    <col width="10" customWidth="1" min="11" max="11"/>
  </cols>
  <sheetData>
    <row r="1">
      <c r="A1" s="45" t="inlineStr">
        <is>
          <t>Sumitomo Rubber Industries Valuation — LEFT=DCF/PE/PB + verdict; RIGHT=5y multiples history</t>
        </is>
      </c>
      <c r="B1" s="2" t="n"/>
      <c r="C1" s="2" t="n"/>
      <c r="D1" s="2" t="n"/>
      <c r="E1" s="2" t="n"/>
      <c r="F1" s="2" t="n"/>
      <c r="G1" s="2" t="n"/>
      <c r="H1" s="2" t="n"/>
      <c r="I1" s="2" t="n"/>
      <c r="J1" s="2" t="n"/>
      <c r="K1" s="2" t="n"/>
    </row>
    <row r="2">
      <c r="A2" s="35" t="inlineStr">
        <is>
          <t>BLUE=input, BLACK=formula, GREEN=cross-sheet</t>
        </is>
      </c>
      <c r="B2" s="2" t="n"/>
      <c r="C2" s="2" t="n"/>
      <c r="D2" s="2" t="n"/>
      <c r="E2" s="2" t="n"/>
      <c r="F2" s="2" t="n"/>
      <c r="G2" s="2" t="n"/>
      <c r="H2" s="2" t="n"/>
      <c r="I2" s="2" t="n"/>
      <c r="J2" s="2" t="n"/>
      <c r="K2" s="2" t="n"/>
    </row>
    <row r="3">
      <c r="A3" s="59" t="inlineStr">
        <is>
          <t>Method 1: DCF (FCFF, equity-only)</t>
        </is>
      </c>
      <c r="B3" s="2" t="n"/>
      <c r="C3" s="2" t="n"/>
      <c r="D3" s="2" t="n"/>
      <c r="E3" s="2" t="n"/>
      <c r="F3" s="59" t="inlineStr">
        <is>
          <t>MULTIPLES HISTORY (5y, split-adjusted)</t>
        </is>
      </c>
      <c r="G3" s="2" t="n"/>
      <c r="H3" s="2" t="n"/>
      <c r="I3" s="2" t="n"/>
      <c r="J3" s="2" t="n"/>
      <c r="K3" s="2" t="n"/>
    </row>
    <row r="4">
      <c r="A4" s="3" t="inlineStr">
        <is>
          <t>FY+1 FCF (億, OCF+ICF)</t>
        </is>
      </c>
      <c r="B4" s="9">
        <f>IFERROR((FS!H63+FS!I63+FS!J63+FS!K63)+(FS!H64+FS!I64+FS!J64+FS!K64),"")</f>
        <v/>
      </c>
      <c r="C4" s="2" t="n"/>
      <c r="D4" s="2" t="n"/>
      <c r="E4" s="2" t="n"/>
      <c r="F4" s="37" t="inlineStr">
        <is>
          <t>Stat</t>
        </is>
      </c>
      <c r="G4" s="37" t="inlineStr">
        <is>
          <t>P/E</t>
        </is>
      </c>
      <c r="H4" s="37" t="inlineStr">
        <is>
          <t>P/B</t>
        </is>
      </c>
      <c r="I4" s="2" t="n"/>
      <c r="J4" s="2" t="n"/>
      <c r="K4" s="2" t="n"/>
    </row>
    <row r="5">
      <c r="A5" s="2" t="inlineStr">
        <is>
          <t>FCF growth Y2-Y5 %</t>
        </is>
      </c>
      <c r="B5" s="65" t="n">
        <v>5</v>
      </c>
      <c r="C5" s="2" t="n"/>
      <c r="D5" s="2" t="n"/>
      <c r="E5" s="2" t="n"/>
      <c r="F5" s="2" t="inlineStr">
        <is>
          <t>Mean</t>
        </is>
      </c>
      <c r="G5" s="21" t="n">
        <v>17.46</v>
      </c>
      <c r="H5" s="21" t="n">
        <v>0.6899999999999999</v>
      </c>
      <c r="I5" s="2" t="n"/>
      <c r="J5" s="2" t="n"/>
      <c r="K5" s="2" t="n"/>
    </row>
    <row r="6">
      <c r="A6" s="2" t="inlineStr">
        <is>
          <t>Terminal growth %</t>
        </is>
      </c>
      <c r="B6" s="65" t="n">
        <v>2</v>
      </c>
      <c r="C6" s="2" t="n"/>
      <c r="D6" s="2" t="n"/>
      <c r="E6" s="2" t="n"/>
      <c r="F6" s="2" t="inlineStr">
        <is>
          <t>Median</t>
        </is>
      </c>
      <c r="G6" s="21" t="n">
        <v>12.04</v>
      </c>
      <c r="H6" s="21" t="n">
        <v>0.6899999999999999</v>
      </c>
      <c r="I6" s="2" t="n"/>
      <c r="J6" s="2" t="n"/>
      <c r="K6" s="2" t="n"/>
    </row>
    <row r="7">
      <c r="A7" s="2" t="inlineStr">
        <is>
          <t xml:space="preserve">  Rf % (10y JGB)</t>
        </is>
      </c>
      <c r="B7" s="65" t="n">
        <v>1.5</v>
      </c>
      <c r="C7" s="2" t="n"/>
      <c r="D7" s="2" t="n"/>
      <c r="E7" s="2" t="n"/>
      <c r="F7" s="2" t="inlineStr">
        <is>
          <t>StdDev</t>
        </is>
      </c>
      <c r="G7" s="21" t="n">
        <v>18.17</v>
      </c>
      <c r="H7" s="21" t="n">
        <v>0.11</v>
      </c>
      <c r="I7" s="2" t="n"/>
      <c r="J7" s="2" t="n"/>
      <c r="K7" s="2" t="n"/>
    </row>
    <row r="8">
      <c r="A8" s="2" t="inlineStr">
        <is>
          <t xml:space="preserve">  ERP % (JP equity premium)</t>
        </is>
      </c>
      <c r="B8" s="65" t="n">
        <v>5</v>
      </c>
      <c r="C8" s="2" t="n"/>
      <c r="D8" s="2" t="n"/>
      <c r="E8" s="2" t="n"/>
      <c r="F8" s="2" t="inlineStr">
        <is>
          <t>Mean +1SD</t>
        </is>
      </c>
      <c r="G8" s="21" t="n">
        <v>35.62</v>
      </c>
      <c r="H8" s="21" t="n">
        <v>0.8</v>
      </c>
      <c r="I8" s="2" t="n"/>
      <c r="J8" s="2" t="n"/>
      <c r="K8" s="2" t="n"/>
    </row>
    <row r="9">
      <c r="A9" s="2" t="inlineStr">
        <is>
          <t xml:space="preserve">  Beta (5y vs TOPIX)</t>
        </is>
      </c>
      <c r="B9" s="67" t="n">
        <v>1.074</v>
      </c>
      <c r="C9" s="2" t="n"/>
      <c r="D9" s="2" t="n"/>
      <c r="E9" s="2" t="n"/>
      <c r="F9" s="2" t="inlineStr">
        <is>
          <t>Mean −1SD</t>
        </is>
      </c>
      <c r="G9" s="21" t="n">
        <v>-0.71</v>
      </c>
      <c r="H9" s="21" t="n">
        <v>0.58</v>
      </c>
      <c r="I9" s="2" t="n"/>
      <c r="J9" s="2" t="n"/>
      <c r="K9" s="2" t="n"/>
    </row>
    <row r="10">
      <c r="A10" s="3" t="inlineStr">
        <is>
          <t>WACC % = Rf + β × ERP</t>
        </is>
      </c>
      <c r="B10" s="73">
        <f>B7+B9*B8</f>
        <v/>
      </c>
      <c r="C10" s="2" t="n"/>
      <c r="D10" s="2" t="n"/>
      <c r="E10" s="2" t="n"/>
      <c r="F10" s="3" t="inlineStr">
        <is>
          <t>CURRENT</t>
        </is>
      </c>
      <c r="G10" s="21" t="n">
        <v>8.58</v>
      </c>
      <c r="H10" s="21" t="n">
        <v>0.7</v>
      </c>
      <c r="I10" s="2" t="n"/>
      <c r="J10" s="2" t="n"/>
      <c r="K10" s="2" t="n"/>
    </row>
    <row r="11">
      <c r="A11" s="3" t="inlineStr">
        <is>
          <t>Stub: days to FY end ÷ 365.25</t>
        </is>
      </c>
      <c r="B11" s="74">
        <f>(DATE(YEAR(TODAY())+IF(MONTH(TODAY())&gt;12,1,0),12+1,0)-TODAY())/365.25</f>
        <v/>
      </c>
      <c r="C11" s="2" t="n"/>
      <c r="D11" s="2" t="n"/>
      <c r="E11" s="2" t="n"/>
      <c r="F11" s="2" t="inlineStr">
        <is>
          <t>Pct Rank %</t>
        </is>
      </c>
      <c r="G11" s="21" t="n">
        <v>22.47</v>
      </c>
      <c r="H11" s="21" t="n">
        <v>56.72</v>
      </c>
      <c r="I11" s="2" t="n"/>
      <c r="J11" s="2" t="n"/>
      <c r="K11" s="2" t="n"/>
    </row>
    <row r="12">
      <c r="A12" s="2" t="inlineStr">
        <is>
          <t>Mid-year convention: Y1 discount=stub/2, Yn≥2 = stub + (n-1) - 0.5</t>
        </is>
      </c>
      <c r="B12" s="2" t="n"/>
      <c r="C12" s="2" t="n"/>
      <c r="D12" s="2" t="n"/>
      <c r="E12" s="2" t="n"/>
      <c r="F12" s="2" t="n"/>
      <c r="G12" s="2" t="n"/>
      <c r="H12" s="2" t="n"/>
      <c r="I12" s="2" t="n"/>
      <c r="J12" s="2" t="n"/>
      <c r="K12" s="2" t="n"/>
    </row>
    <row r="13">
      <c r="A13" s="2" t="inlineStr">
        <is>
          <t>Y1</t>
        </is>
      </c>
      <c r="B13" s="50">
        <f>B4</f>
        <v/>
      </c>
      <c r="C13" s="74">
        <f>1/(1+$B$10/100)^($B$11/2)</f>
        <v/>
      </c>
      <c r="D13" s="50">
        <f>B13*C13</f>
        <v/>
      </c>
      <c r="E13" s="2" t="n"/>
      <c r="F13" s="3" t="inlineStr">
        <is>
          <t>Current Price (¥)</t>
        </is>
      </c>
      <c r="G13" s="75" t="n">
        <v>2020</v>
      </c>
      <c r="H13" s="2" t="n"/>
      <c r="I13" s="2" t="n"/>
      <c r="J13" s="2" t="n"/>
      <c r="K13" s="2" t="n"/>
    </row>
    <row r="14">
      <c r="A14" s="2" t="inlineStr">
        <is>
          <t>Y2</t>
        </is>
      </c>
      <c r="B14" s="50">
        <f>B13*(1+$B$5/100)</f>
        <v/>
      </c>
      <c r="C14" s="74">
        <f>1/(1+$B$10/100)^($B$11+2-1-0.5)</f>
        <v/>
      </c>
      <c r="D14" s="50">
        <f>B14*C14</f>
        <v/>
      </c>
      <c r="E14" s="2" t="n"/>
      <c r="F14" s="2" t="inlineStr">
        <is>
          <t>Current TTM EPS (¥)</t>
        </is>
      </c>
      <c r="G14" s="13" t="n">
        <v>235.39</v>
      </c>
      <c r="H14" s="2" t="n"/>
      <c r="I14" s="2" t="n"/>
      <c r="J14" s="2" t="n"/>
      <c r="K14" s="2" t="n"/>
    </row>
    <row r="15">
      <c r="A15" s="2" t="inlineStr">
        <is>
          <t>Y3</t>
        </is>
      </c>
      <c r="B15" s="50">
        <f>B14*(1+$B$5/100)</f>
        <v/>
      </c>
      <c r="C15" s="74">
        <f>1/(1+$B$10/100)^($B$11+3-1-0.5)</f>
        <v/>
      </c>
      <c r="D15" s="50">
        <f>B15*C15</f>
        <v/>
      </c>
      <c r="E15" s="2" t="n"/>
      <c r="F15" s="2" t="inlineStr">
        <is>
          <t>Current BPS (¥)</t>
        </is>
      </c>
      <c r="G15" s="13" t="n">
        <v>2869.5</v>
      </c>
      <c r="H15" s="2" t="n"/>
      <c r="I15" s="2" t="n"/>
      <c r="J15" s="2" t="n"/>
      <c r="K15" s="2" t="n"/>
    </row>
    <row r="16">
      <c r="A16" s="2" t="inlineStr">
        <is>
          <t>Y4</t>
        </is>
      </c>
      <c r="B16" s="50">
        <f>B15*(1+$B$5/100)</f>
        <v/>
      </c>
      <c r="C16" s="74">
        <f>1/(1+$B$10/100)^($B$11+4-1-0.5)</f>
        <v/>
      </c>
      <c r="D16" s="50">
        <f>B16*C16</f>
        <v/>
      </c>
      <c r="E16" s="2" t="n"/>
      <c r="F16" s="2" t="n"/>
      <c r="G16" s="2" t="n"/>
      <c r="H16" s="2" t="n"/>
      <c r="I16" s="2" t="n"/>
      <c r="J16" s="2" t="n"/>
      <c r="K16" s="2" t="n"/>
    </row>
    <row r="17">
      <c r="A17" s="2" t="inlineStr">
        <is>
          <t>Y5</t>
        </is>
      </c>
      <c r="B17" s="50">
        <f>B16*(1+$B$5/100)</f>
        <v/>
      </c>
      <c r="C17" s="74">
        <f>1/(1+$B$10/100)^($B$11+5-1-0.5)</f>
        <v/>
      </c>
      <c r="D17" s="50">
        <f>B17*C17</f>
        <v/>
      </c>
      <c r="E17" s="2" t="n"/>
      <c r="F17" s="59" t="inlineStr">
        <is>
          <t>Recent 30 days</t>
        </is>
      </c>
      <c r="G17" s="2" t="n"/>
      <c r="H17" s="2" t="n"/>
      <c r="I17" s="2" t="n"/>
      <c r="J17" s="2" t="n"/>
      <c r="K17" s="2" t="n"/>
    </row>
    <row r="18">
      <c r="A18" s="2" t="n"/>
      <c r="B18" s="2" t="n"/>
      <c r="C18" s="2" t="n"/>
      <c r="D18" s="2" t="n"/>
      <c r="E18" s="2" t="n"/>
      <c r="F18" s="6" t="inlineStr">
        <is>
          <t>Date</t>
        </is>
      </c>
      <c r="G18" s="6" t="inlineStr">
        <is>
          <t>Close</t>
        </is>
      </c>
      <c r="H18" s="6" t="inlineStr">
        <is>
          <t>TTM EPS</t>
        </is>
      </c>
      <c r="I18" s="6" t="inlineStr">
        <is>
          <t>BPS</t>
        </is>
      </c>
      <c r="J18" s="6" t="inlineStr">
        <is>
          <t>P/E</t>
        </is>
      </c>
      <c r="K18" s="6" t="inlineStr">
        <is>
          <t>P/B</t>
        </is>
      </c>
    </row>
    <row r="19">
      <c r="A19" s="3" t="inlineStr">
        <is>
          <t>Terminal (discounted at end-of-Y5 = stub + 4.5)</t>
        </is>
      </c>
      <c r="B19" s="50">
        <f>B17*(1+$B$6/100)/(($B$10-$B$6)/100)</f>
        <v/>
      </c>
      <c r="C19" s="74">
        <f>1/(1+$B$10/100)^($B$11+4.5)</f>
        <v/>
      </c>
      <c r="D19" s="50">
        <f>B19*C19</f>
        <v/>
      </c>
      <c r="E19" s="2" t="n"/>
      <c r="F19" s="2" t="inlineStr">
        <is>
          <t>2026-08-13</t>
        </is>
      </c>
      <c r="G19" s="15" t="n">
        <v>2377</v>
      </c>
      <c r="H19" s="13" t="n">
        <v>235.39</v>
      </c>
      <c r="I19" s="13" t="n">
        <v>2869.5</v>
      </c>
      <c r="J19" s="21" t="n">
        <v>10.1</v>
      </c>
      <c r="K19" s="21" t="n">
        <v>0.83</v>
      </c>
    </row>
    <row r="20">
      <c r="A20" s="2" t="n"/>
      <c r="B20" s="2" t="n"/>
      <c r="C20" s="2" t="n"/>
      <c r="D20" s="2" t="n"/>
      <c r="E20" s="2" t="n"/>
      <c r="F20" s="2" t="inlineStr">
        <is>
          <t>2026-08-14</t>
        </is>
      </c>
      <c r="G20" s="15" t="n">
        <v>2397</v>
      </c>
      <c r="H20" s="13" t="n">
        <v>235.39</v>
      </c>
      <c r="I20" s="13" t="n">
        <v>2869.5</v>
      </c>
      <c r="J20" s="21" t="n">
        <v>10.19</v>
      </c>
      <c r="K20" s="21" t="n">
        <v>0.84</v>
      </c>
    </row>
    <row r="21">
      <c r="A21" s="3" t="inlineStr">
        <is>
          <t>Enterprise Value (億)</t>
        </is>
      </c>
      <c r="B21" s="42">
        <f>SUM(D13:D17)+D19</f>
        <v/>
      </c>
      <c r="C21" s="2" t="n"/>
      <c r="D21" s="2" t="n"/>
      <c r="E21" s="2" t="n"/>
      <c r="F21" s="2" t="inlineStr">
        <is>
          <t>2026-08-17</t>
        </is>
      </c>
      <c r="G21" s="15" t="n">
        <v>2360</v>
      </c>
      <c r="H21" s="13" t="n">
        <v>235.39</v>
      </c>
      <c r="I21" s="13" t="n">
        <v>2869.5</v>
      </c>
      <c r="J21" s="21" t="n">
        <v>10.03</v>
      </c>
      <c r="K21" s="21" t="n">
        <v>0.82</v>
      </c>
    </row>
    <row r="22">
      <c r="A22" s="2" t="inlineStr">
        <is>
          <t>Net Cash = Cash − Debt (FY26Q2 actual)</t>
        </is>
      </c>
      <c r="B22" s="9">
        <f>FS!I30-FS!I41</f>
        <v/>
      </c>
      <c r="C22" s="2" t="n"/>
      <c r="D22" s="2" t="n"/>
      <c r="E22" s="2" t="n"/>
      <c r="F22" s="2" t="inlineStr">
        <is>
          <t>2026-08-18</t>
        </is>
      </c>
      <c r="G22" s="15" t="n">
        <v>2311</v>
      </c>
      <c r="H22" s="13" t="n">
        <v>235.39</v>
      </c>
      <c r="I22" s="13" t="n">
        <v>2869.5</v>
      </c>
      <c r="J22" s="21" t="n">
        <v>9.82</v>
      </c>
      <c r="K22" s="21" t="n">
        <v>0.8100000000000001</v>
      </c>
    </row>
    <row r="23">
      <c r="A23" s="3" t="inlineStr">
        <is>
          <t>Equity Value (億)</t>
        </is>
      </c>
      <c r="B23" s="42">
        <f>B21+B22</f>
        <v/>
      </c>
      <c r="C23" s="2" t="n"/>
      <c r="D23" s="2" t="n"/>
      <c r="E23" s="2" t="n"/>
      <c r="F23" s="2" t="inlineStr">
        <is>
          <t>2026-08-19</t>
        </is>
      </c>
      <c r="G23" s="15" t="n">
        <v>2243</v>
      </c>
      <c r="H23" s="13" t="n">
        <v>235.39</v>
      </c>
      <c r="I23" s="13" t="n">
        <v>2869.5</v>
      </c>
      <c r="J23" s="21" t="n">
        <v>9.529999999999999</v>
      </c>
      <c r="K23" s="21" t="n">
        <v>0.78</v>
      </c>
    </row>
    <row r="24">
      <c r="A24" s="2" t="inlineStr">
        <is>
          <t>Shares (M)</t>
        </is>
      </c>
      <c r="B24" s="10" t="n">
        <v>262.9</v>
      </c>
      <c r="C24" s="2" t="n"/>
      <c r="D24" s="2" t="n"/>
      <c r="E24" s="2" t="n"/>
      <c r="F24" s="2" t="inlineStr">
        <is>
          <t>2026-08-20</t>
        </is>
      </c>
      <c r="G24" s="15" t="n">
        <v>2296</v>
      </c>
      <c r="H24" s="13" t="n">
        <v>235.39</v>
      </c>
      <c r="I24" s="13" t="n">
        <v>2869.5</v>
      </c>
      <c r="J24" s="21" t="n">
        <v>9.75</v>
      </c>
      <c r="K24" s="21" t="n">
        <v>0.8</v>
      </c>
    </row>
    <row r="25">
      <c r="A25" s="3" t="inlineStr">
        <is>
          <t>DCF implied price (¥)</t>
        </is>
      </c>
      <c r="B25" s="76">
        <f>B23*100/B24</f>
        <v/>
      </c>
      <c r="C25" s="2" t="n"/>
      <c r="D25" s="2" t="n"/>
      <c r="E25" s="2" t="n"/>
      <c r="F25" s="2" t="inlineStr">
        <is>
          <t>2026-08-21</t>
        </is>
      </c>
      <c r="G25" s="15" t="n">
        <v>2297</v>
      </c>
      <c r="H25" s="13" t="n">
        <v>235.39</v>
      </c>
      <c r="I25" s="13" t="n">
        <v>2869.5</v>
      </c>
      <c r="J25" s="21" t="n">
        <v>9.76</v>
      </c>
      <c r="K25" s="21" t="n">
        <v>0.8</v>
      </c>
    </row>
    <row r="26">
      <c r="A26" s="2" t="inlineStr">
        <is>
          <t xml:space="preserve">  Net Cash floor (¥)</t>
        </is>
      </c>
      <c r="B26" s="54">
        <f>B22*100/B24</f>
        <v/>
      </c>
      <c r="C26" s="2" t="n"/>
      <c r="D26" s="2" t="n"/>
      <c r="E26" s="2" t="n"/>
      <c r="F26" s="2" t="inlineStr">
        <is>
          <t>2026-08-24</t>
        </is>
      </c>
      <c r="G26" s="15" t="n">
        <v>2325</v>
      </c>
      <c r="H26" s="13" t="n">
        <v>235.39</v>
      </c>
      <c r="I26" s="13" t="n">
        <v>2869.5</v>
      </c>
      <c r="J26" s="21" t="n">
        <v>9.880000000000001</v>
      </c>
      <c r="K26" s="21" t="n">
        <v>0.8100000000000001</v>
      </c>
    </row>
    <row r="27">
      <c r="A27" s="2" t="n"/>
      <c r="B27" s="2" t="n"/>
      <c r="C27" s="2" t="n"/>
      <c r="D27" s="2" t="n"/>
      <c r="E27" s="2" t="n"/>
      <c r="F27" s="2" t="inlineStr">
        <is>
          <t>2026-08-25</t>
        </is>
      </c>
      <c r="G27" s="15" t="n">
        <v>2290</v>
      </c>
      <c r="H27" s="13" t="n">
        <v>235.39</v>
      </c>
      <c r="I27" s="13" t="n">
        <v>2869.5</v>
      </c>
      <c r="J27" s="21" t="n">
        <v>9.73</v>
      </c>
      <c r="K27" s="21" t="n">
        <v>0.8</v>
      </c>
    </row>
    <row r="28">
      <c r="A28" s="59" t="inlineStr">
        <is>
          <t>Method 2: P/E range (NTM blend)</t>
        </is>
      </c>
      <c r="B28" s="2" t="n"/>
      <c r="C28" s="2" t="n"/>
      <c r="D28" s="2" t="n"/>
      <c r="E28" s="2" t="n"/>
      <c r="F28" s="2" t="inlineStr">
        <is>
          <t>2026-08-26</t>
        </is>
      </c>
      <c r="G28" s="15" t="n">
        <v>2302</v>
      </c>
      <c r="H28" s="13" t="n">
        <v>235.39</v>
      </c>
      <c r="I28" s="13" t="n">
        <v>2869.5</v>
      </c>
      <c r="J28" s="21" t="n">
        <v>9.779999999999999</v>
      </c>
      <c r="K28" s="21" t="n">
        <v>0.8</v>
      </c>
    </row>
    <row r="29">
      <c r="A29" s="3" t="inlineStr">
        <is>
          <t>Blend weight on FY+1 (auto = days→FY end / 365)</t>
        </is>
      </c>
      <c r="B29" s="77">
        <f>MAX(0,MIN(1,1-(TODAY()-DATE(YEAR(TODAY())-IF(MONTH(TODAY())&gt;12,0,1),12+1,0))/365.25))</f>
        <v/>
      </c>
      <c r="C29" s="2" t="n"/>
      <c r="D29" s="2" t="n"/>
      <c r="E29" s="2" t="n"/>
      <c r="F29" s="2" t="inlineStr">
        <is>
          <t>2026-08-27</t>
        </is>
      </c>
      <c r="G29" s="15" t="n">
        <v>2243</v>
      </c>
      <c r="H29" s="13" t="n">
        <v>235.39</v>
      </c>
      <c r="I29" s="13" t="n">
        <v>2869.5</v>
      </c>
      <c r="J29" s="21" t="n">
        <v>9.529999999999999</v>
      </c>
      <c r="K29" s="21" t="n">
        <v>0.78</v>
      </c>
    </row>
    <row r="30">
      <c r="A30" s="2" t="inlineStr">
        <is>
          <t>FY+1 EPS forecast (¥, sum of 4Q)</t>
        </is>
      </c>
      <c r="B30" s="14">
        <f>FS!H22+FS!I22+FS!J22+FS!K22</f>
        <v/>
      </c>
      <c r="C30" s="2" t="n"/>
      <c r="D30" s="2" t="n"/>
      <c r="E30" s="2" t="n"/>
      <c r="F30" s="2" t="inlineStr">
        <is>
          <t>2026-08-28</t>
        </is>
      </c>
      <c r="G30" s="15" t="n">
        <v>2223</v>
      </c>
      <c r="H30" s="13" t="n">
        <v>235.39</v>
      </c>
      <c r="I30" s="13" t="n">
        <v>2869.5</v>
      </c>
      <c r="J30" s="21" t="n">
        <v>9.449999999999999</v>
      </c>
      <c r="K30" s="21" t="n">
        <v>0.77</v>
      </c>
    </row>
    <row r="31">
      <c r="A31" s="2" t="inlineStr">
        <is>
          <t>FY+2 EPS forecast (¥, sum of 4Q)</t>
        </is>
      </c>
      <c r="B31" s="14">
        <f>FS!L22+FS!M22+FS!N22+FS!O22</f>
        <v/>
      </c>
      <c r="C31" s="2" t="n"/>
      <c r="D31" s="2" t="n"/>
      <c r="E31" s="2" t="n"/>
      <c r="F31" s="2" t="inlineStr">
        <is>
          <t>2026-08-31</t>
        </is>
      </c>
      <c r="G31" s="15" t="n">
        <v>2245</v>
      </c>
      <c r="H31" s="13" t="n">
        <v>235.39</v>
      </c>
      <c r="I31" s="13" t="n">
        <v>2869.5</v>
      </c>
      <c r="J31" s="21" t="n">
        <v>9.539999999999999</v>
      </c>
      <c r="K31" s="21" t="n">
        <v>0.78</v>
      </c>
    </row>
    <row r="32">
      <c r="A32" s="3" t="inlineStr">
        <is>
          <t>NTM EPS = w·FY+1 + (1−w)·FY+2</t>
        </is>
      </c>
      <c r="B32" s="76">
        <f>B29*B30+(1-B29)*B31</f>
        <v/>
      </c>
      <c r="C32" s="2" t="n"/>
      <c r="D32" s="2" t="n"/>
      <c r="E32" s="2" t="n"/>
      <c r="F32" s="2" t="inlineStr">
        <is>
          <t>2026-09-01</t>
        </is>
      </c>
      <c r="G32" s="15" t="n">
        <v>2292</v>
      </c>
      <c r="H32" s="13" t="n">
        <v>235.39</v>
      </c>
      <c r="I32" s="13" t="n">
        <v>2869.5</v>
      </c>
      <c r="J32" s="21" t="n">
        <v>9.74</v>
      </c>
      <c r="K32" s="21" t="n">
        <v>0.8</v>
      </c>
    </row>
    <row r="33">
      <c r="A33" s="2" t="inlineStr">
        <is>
          <t>5y mean P/E</t>
        </is>
      </c>
      <c r="B33" s="14">
        <f>Valuation!G5</f>
        <v/>
      </c>
      <c r="C33" s="2" t="n"/>
      <c r="D33" s="2" t="n"/>
      <c r="E33" s="2" t="n"/>
      <c r="F33" s="2" t="inlineStr">
        <is>
          <t>2026-09-02</t>
        </is>
      </c>
      <c r="G33" s="15" t="n">
        <v>2160</v>
      </c>
      <c r="H33" s="13" t="n">
        <v>235.39</v>
      </c>
      <c r="I33" s="13" t="n">
        <v>2869.5</v>
      </c>
      <c r="J33" s="21" t="n">
        <v>9.18</v>
      </c>
      <c r="K33" s="21" t="n">
        <v>0.75</v>
      </c>
    </row>
    <row r="34">
      <c r="A34" s="2" t="inlineStr">
        <is>
          <t>5y +1SD P/E</t>
        </is>
      </c>
      <c r="B34" s="14">
        <f>Valuation!G8</f>
        <v/>
      </c>
      <c r="C34" s="2" t="n"/>
      <c r="D34" s="2" t="n"/>
      <c r="E34" s="2" t="n"/>
      <c r="F34" s="2" t="inlineStr">
        <is>
          <t>2026-09-03</t>
        </is>
      </c>
      <c r="G34" s="15" t="n">
        <v>2168</v>
      </c>
      <c r="H34" s="13" t="n">
        <v>235.39</v>
      </c>
      <c r="I34" s="13" t="n">
        <v>2869.5</v>
      </c>
      <c r="J34" s="21" t="n">
        <v>9.210000000000001</v>
      </c>
      <c r="K34" s="21" t="n">
        <v>0.76</v>
      </c>
    </row>
    <row r="35">
      <c r="A35" s="2" t="inlineStr">
        <is>
          <t>5y −1SD P/E</t>
        </is>
      </c>
      <c r="B35" s="14">
        <f>Valuation!G9</f>
        <v/>
      </c>
      <c r="C35" s="2" t="n"/>
      <c r="D35" s="2" t="n"/>
      <c r="E35" s="2" t="n"/>
      <c r="F35" s="2" t="inlineStr">
        <is>
          <t>2026-09-04</t>
        </is>
      </c>
      <c r="G35" s="15" t="n">
        <v>2099</v>
      </c>
      <c r="H35" s="13" t="n">
        <v>235.39</v>
      </c>
      <c r="I35" s="13" t="n">
        <v>2869.5</v>
      </c>
      <c r="J35" s="21" t="n">
        <v>8.92</v>
      </c>
      <c r="K35" s="21" t="n">
        <v>0.73</v>
      </c>
    </row>
    <row r="36">
      <c r="A36" s="3" t="inlineStr">
        <is>
          <t>Implied @mean (NTM)</t>
        </is>
      </c>
      <c r="B36" s="76">
        <f>B32*B33</f>
        <v/>
      </c>
      <c r="C36" s="2" t="n"/>
      <c r="D36" s="2" t="n"/>
      <c r="E36" s="2" t="n"/>
      <c r="F36" s="2" t="inlineStr">
        <is>
          <t>2026-09-07</t>
        </is>
      </c>
      <c r="G36" s="15" t="n">
        <v>2085</v>
      </c>
      <c r="H36" s="13" t="n">
        <v>235.39</v>
      </c>
      <c r="I36" s="13" t="n">
        <v>2869.5</v>
      </c>
      <c r="J36" s="21" t="n">
        <v>8.859999999999999</v>
      </c>
      <c r="K36" s="21" t="n">
        <v>0.73</v>
      </c>
    </row>
    <row r="37">
      <c r="A37" s="2" t="inlineStr">
        <is>
          <t>Implied @+1SD</t>
        </is>
      </c>
      <c r="B37" s="54">
        <f>B32*B34</f>
        <v/>
      </c>
      <c r="C37" s="2" t="n"/>
      <c r="D37" s="2" t="n"/>
      <c r="E37" s="2" t="n"/>
      <c r="F37" s="2" t="inlineStr">
        <is>
          <t>2026-09-08</t>
        </is>
      </c>
      <c r="G37" s="15" t="n">
        <v>1985</v>
      </c>
      <c r="H37" s="13" t="n">
        <v>235.39</v>
      </c>
      <c r="I37" s="13" t="n">
        <v>2869.5</v>
      </c>
      <c r="J37" s="21" t="n">
        <v>8.43</v>
      </c>
      <c r="K37" s="21" t="n">
        <v>0.6899999999999999</v>
      </c>
    </row>
    <row r="38">
      <c r="A38" s="2" t="inlineStr">
        <is>
          <t>Implied @−1SD</t>
        </is>
      </c>
      <c r="B38" s="54">
        <f>B32*B35</f>
        <v/>
      </c>
      <c r="C38" s="2" t="n"/>
      <c r="D38" s="2" t="n"/>
      <c r="E38" s="2" t="n"/>
      <c r="F38" s="2" t="inlineStr">
        <is>
          <t>2026-09-09</t>
        </is>
      </c>
      <c r="G38" s="15" t="n">
        <v>2027</v>
      </c>
      <c r="H38" s="13" t="n">
        <v>235.39</v>
      </c>
      <c r="I38" s="13" t="n">
        <v>2869.5</v>
      </c>
      <c r="J38" s="21" t="n">
        <v>8.609999999999999</v>
      </c>
      <c r="K38" s="21" t="n">
        <v>0.71</v>
      </c>
    </row>
    <row r="39">
      <c r="A39" s="2" t="n"/>
      <c r="B39" s="2" t="n"/>
      <c r="C39" s="2" t="n"/>
      <c r="D39" s="2" t="n"/>
      <c r="E39" s="2" t="n"/>
      <c r="F39" s="2" t="inlineStr">
        <is>
          <t>2026-09-10</t>
        </is>
      </c>
      <c r="G39" s="15" t="n">
        <v>2004</v>
      </c>
      <c r="H39" s="13" t="n">
        <v>235.39</v>
      </c>
      <c r="I39" s="13" t="n">
        <v>2869.5</v>
      </c>
      <c r="J39" s="21" t="n">
        <v>8.51</v>
      </c>
      <c r="K39" s="21" t="n">
        <v>0.7</v>
      </c>
    </row>
    <row r="40">
      <c r="A40" s="2" t="n"/>
      <c r="B40" s="2" t="n"/>
      <c r="C40" s="2" t="n"/>
      <c r="D40" s="2" t="n"/>
      <c r="E40" s="2" t="n"/>
      <c r="F40" s="2" t="inlineStr">
        <is>
          <t>2026-09-11</t>
        </is>
      </c>
      <c r="G40" s="15" t="n">
        <v>1996</v>
      </c>
      <c r="H40" s="13" t="n">
        <v>235.39</v>
      </c>
      <c r="I40" s="13" t="n">
        <v>2869.5</v>
      </c>
      <c r="J40" s="21" t="n">
        <v>8.48</v>
      </c>
      <c r="K40" s="21" t="n">
        <v>0.7</v>
      </c>
    </row>
    <row r="41">
      <c r="A41" s="59" t="inlineStr">
        <is>
          <t>Method 3: P/B range (NTM blend)</t>
        </is>
      </c>
      <c r="B41" s="2" t="n"/>
      <c r="C41" s="2" t="n"/>
      <c r="D41" s="2" t="n"/>
      <c r="E41" s="2" t="n"/>
      <c r="F41" s="2" t="inlineStr">
        <is>
          <t>2026-09-14</t>
        </is>
      </c>
      <c r="G41" s="15" t="n">
        <v>2004</v>
      </c>
      <c r="H41" s="13" t="n">
        <v>235.39</v>
      </c>
      <c r="I41" s="13" t="n">
        <v>2869.5</v>
      </c>
      <c r="J41" s="21" t="n">
        <v>8.52</v>
      </c>
      <c r="K41" s="21" t="n">
        <v>0.7</v>
      </c>
    </row>
    <row r="42">
      <c r="A42" s="3" t="inlineStr">
        <is>
          <t>Current BPS (latest, ¥/share)</t>
        </is>
      </c>
      <c r="B42" s="78">
        <f>Valuation!G15</f>
        <v/>
      </c>
      <c r="C42" s="2" t="n"/>
      <c r="D42" s="2" t="n"/>
      <c r="E42" s="2" t="n"/>
      <c r="F42" s="2" t="inlineStr">
        <is>
          <t>2026-09-15</t>
        </is>
      </c>
      <c r="G42" s="15" t="n">
        <v>1994</v>
      </c>
      <c r="H42" s="13" t="n">
        <v>235.39</v>
      </c>
      <c r="I42" s="13" t="n">
        <v>2869.5</v>
      </c>
      <c r="J42" s="21" t="n">
        <v>8.470000000000001</v>
      </c>
      <c r="K42" s="21" t="n">
        <v>0.6899999999999999</v>
      </c>
    </row>
    <row r="43">
      <c r="A43" s="2" t="inlineStr">
        <is>
          <t xml:space="preserve">  + FY+1 ΔBPS (4Q NI × retention / shares)</t>
        </is>
      </c>
      <c r="B43" s="14">
        <f>(FS!J18+FS!K18)*(1-FS!B88/100)*100/FS!B89</f>
        <v/>
      </c>
      <c r="C43" s="2" t="n"/>
      <c r="D43" s="2" t="n"/>
      <c r="E43" s="2" t="n"/>
      <c r="F43" s="2" t="inlineStr">
        <is>
          <t>2026-09-16</t>
        </is>
      </c>
      <c r="G43" s="15" t="n">
        <v>1993</v>
      </c>
      <c r="H43" s="13" t="n">
        <v>235.39</v>
      </c>
      <c r="I43" s="13" t="n">
        <v>2869.5</v>
      </c>
      <c r="J43" s="21" t="n">
        <v>8.470000000000001</v>
      </c>
      <c r="K43" s="21" t="n">
        <v>0.6899999999999999</v>
      </c>
    </row>
    <row r="44">
      <c r="A44" s="2" t="inlineStr">
        <is>
          <t xml:space="preserve">  + FY+2 ΔBPS (only when blend leans to FY+2)</t>
        </is>
      </c>
      <c r="B44" s="14">
        <f>(FS!L18+FS!M18+FS!N18+FS!O18)*(1-FS!B88/100)*100/FS!B89</f>
        <v/>
      </c>
      <c r="C44" s="2" t="n"/>
      <c r="D44" s="2" t="n"/>
      <c r="E44" s="2" t="n"/>
      <c r="F44" s="2" t="inlineStr">
        <is>
          <t>2026-09-17</t>
        </is>
      </c>
      <c r="G44" s="15" t="n">
        <v>2020</v>
      </c>
      <c r="H44" s="13" t="n">
        <v>235.39</v>
      </c>
      <c r="I44" s="13" t="n">
        <v>2869.5</v>
      </c>
      <c r="J44" s="21" t="n">
        <v>8.58</v>
      </c>
      <c r="K44" s="21" t="n">
        <v>0.7</v>
      </c>
    </row>
    <row r="45">
      <c r="A45" s="3" t="inlineStr">
        <is>
          <t>NTM BPS = (current + ΔFY1 + (1−w)·ΔFY2)</t>
        </is>
      </c>
      <c r="B45" s="79">
        <f>B42+B43+(1-B29)*B44</f>
        <v/>
      </c>
      <c r="C45" s="2" t="n"/>
      <c r="D45" s="2" t="n"/>
      <c r="E45" s="2" t="n"/>
      <c r="F45" s="2" t="inlineStr">
        <is>
          <t>2026-09-18</t>
        </is>
      </c>
      <c r="G45" s="15" t="n">
        <v>1985</v>
      </c>
      <c r="H45" s="13" t="n">
        <v>235.39</v>
      </c>
      <c r="I45" s="13" t="n">
        <v>2869.5</v>
      </c>
      <c r="J45" s="21" t="n">
        <v>8.43</v>
      </c>
      <c r="K45" s="21" t="n">
        <v>0.6899999999999999</v>
      </c>
    </row>
    <row r="46">
      <c r="A46" s="2" t="inlineStr">
        <is>
          <t>5y mean P/B</t>
        </is>
      </c>
      <c r="B46" s="80">
        <f>Valuation!H5</f>
        <v/>
      </c>
      <c r="C46" s="2" t="n"/>
      <c r="D46" s="2" t="n"/>
      <c r="E46" s="2" t="n"/>
      <c r="F46" s="2" t="inlineStr">
        <is>
          <t>2026-09-24</t>
        </is>
      </c>
      <c r="G46" s="15" t="n">
        <v>2031</v>
      </c>
      <c r="H46" s="13" t="n">
        <v>235.39</v>
      </c>
      <c r="I46" s="13" t="n">
        <v>2869.5</v>
      </c>
      <c r="J46" s="21" t="n">
        <v>8.630000000000001</v>
      </c>
      <c r="K46" s="21" t="n">
        <v>0.71</v>
      </c>
    </row>
    <row r="47">
      <c r="A47" s="2" t="inlineStr">
        <is>
          <t>5y +1SD P/B</t>
        </is>
      </c>
      <c r="B47" s="80">
        <f>Valuation!H8</f>
        <v/>
      </c>
      <c r="C47" s="2" t="n"/>
      <c r="D47" s="2" t="n"/>
      <c r="E47" s="2" t="n"/>
      <c r="F47" s="2" t="inlineStr">
        <is>
          <t>2026-09-25</t>
        </is>
      </c>
      <c r="G47" s="15" t="n">
        <v>2036</v>
      </c>
      <c r="H47" s="13" t="n">
        <v>235.39</v>
      </c>
      <c r="I47" s="13" t="n">
        <v>2869.5</v>
      </c>
      <c r="J47" s="21" t="n">
        <v>8.65</v>
      </c>
      <c r="K47" s="21" t="n">
        <v>0.71</v>
      </c>
    </row>
    <row r="48">
      <c r="A48" s="2" t="inlineStr">
        <is>
          <t>5y −1SD P/B</t>
        </is>
      </c>
      <c r="B48" s="80">
        <f>Valuation!H9</f>
        <v/>
      </c>
      <c r="C48" s="2" t="n"/>
      <c r="D48" s="2" t="n"/>
      <c r="E48" s="2" t="n"/>
      <c r="F48" s="2" t="inlineStr">
        <is>
          <t>2026-09-28</t>
        </is>
      </c>
      <c r="G48" s="15" t="n">
        <v>2020</v>
      </c>
      <c r="H48" s="13" t="n">
        <v>235.39</v>
      </c>
      <c r="I48" s="13" t="n">
        <v>2869.5</v>
      </c>
      <c r="J48" s="21" t="n">
        <v>8.58</v>
      </c>
      <c r="K48" s="21" t="n">
        <v>0.7</v>
      </c>
    </row>
    <row r="49">
      <c r="A49" s="3" t="inlineStr">
        <is>
          <t>Implied @mean (NTM)</t>
        </is>
      </c>
      <c r="B49" s="76">
        <f>B45*B46</f>
        <v/>
      </c>
      <c r="C49" s="2" t="n"/>
      <c r="D49" s="2" t="n"/>
      <c r="E49" s="2" t="n"/>
      <c r="F49" s="2" t="n"/>
      <c r="G49" s="2" t="n"/>
      <c r="H49" s="2" t="n"/>
      <c r="I49" s="2" t="n"/>
      <c r="J49" s="2" t="n"/>
      <c r="K49" s="2" t="n"/>
    </row>
    <row r="50">
      <c r="A50" s="2" t="inlineStr">
        <is>
          <t>Implied @+1SD</t>
        </is>
      </c>
      <c r="B50" s="54">
        <f>B45*B47</f>
        <v/>
      </c>
      <c r="C50" s="2" t="n"/>
      <c r="D50" s="2" t="n"/>
      <c r="E50" s="2" t="n"/>
      <c r="F50" s="2" t="n"/>
      <c r="G50" s="2" t="n"/>
      <c r="H50" s="2" t="n"/>
      <c r="I50" s="2" t="n"/>
      <c r="J50" s="2" t="n"/>
      <c r="K50" s="2" t="n"/>
    </row>
    <row r="51">
      <c r="A51" s="2" t="inlineStr">
        <is>
          <t>Implied @−1SD</t>
        </is>
      </c>
      <c r="B51" s="54">
        <f>B45*B48</f>
        <v/>
      </c>
      <c r="C51" s="2" t="n"/>
      <c r="D51" s="2" t="n"/>
      <c r="E51" s="2" t="n"/>
      <c r="F51" s="2" t="n"/>
      <c r="G51" s="2" t="n"/>
      <c r="H51" s="2" t="n"/>
      <c r="I51" s="2" t="n"/>
      <c r="J51" s="2" t="n"/>
      <c r="K51" s="2" t="n"/>
    </row>
    <row r="52">
      <c r="A52" s="2" t="n"/>
      <c r="B52" s="2" t="n"/>
      <c r="C52" s="2" t="n"/>
      <c r="D52" s="2" t="n"/>
      <c r="E52" s="2" t="n"/>
      <c r="F52" s="2" t="n"/>
      <c r="G52" s="2" t="n"/>
      <c r="H52" s="2" t="n"/>
      <c r="I52" s="2" t="n"/>
      <c r="J52" s="2" t="n"/>
      <c r="K52" s="2" t="n"/>
    </row>
    <row r="53">
      <c r="A53" s="2" t="n"/>
      <c r="B53" s="2" t="n"/>
      <c r="C53" s="2" t="n"/>
      <c r="D53" s="2" t="n"/>
      <c r="E53" s="2" t="n"/>
      <c r="F53" s="2" t="n"/>
      <c r="G53" s="2" t="n"/>
      <c r="H53" s="2" t="n"/>
      <c r="I53" s="2" t="n"/>
      <c r="J53" s="2" t="n"/>
      <c r="K53" s="2" t="n"/>
    </row>
    <row r="54">
      <c r="A54" s="81" t="inlineStr">
        <is>
          <t>VERDICT (NTM target)</t>
        </is>
      </c>
      <c r="B54" s="2" t="n"/>
      <c r="C54" s="2" t="n"/>
      <c r="D54" s="2" t="n"/>
      <c r="E54" s="2" t="n"/>
      <c r="F54" s="2" t="n"/>
      <c r="G54" s="2" t="n"/>
      <c r="H54" s="2" t="n"/>
      <c r="I54" s="2" t="n"/>
      <c r="J54" s="2" t="n"/>
      <c r="K54" s="2" t="n"/>
    </row>
    <row r="55">
      <c r="A55" s="3" t="inlineStr">
        <is>
          <t>Current Price (¥)</t>
        </is>
      </c>
      <c r="B55" s="78">
        <f>Valuation!G13</f>
        <v/>
      </c>
      <c r="C55" s="2" t="n"/>
      <c r="D55" s="2" t="n"/>
      <c r="E55" s="2" t="n"/>
      <c r="F55" s="2" t="n"/>
      <c r="G55" s="2" t="n"/>
      <c r="H55" s="2" t="n"/>
      <c r="I55" s="2" t="n"/>
      <c r="J55" s="2" t="n"/>
      <c r="K55" s="2" t="n"/>
    </row>
    <row r="56">
      <c r="A56" s="2" t="inlineStr">
        <is>
          <t>DCF target</t>
        </is>
      </c>
      <c r="B56" s="54">
        <f>B25</f>
        <v/>
      </c>
      <c r="C56" s="82">
        <f>IF(B55&lt;B56*0.9,"Cheap",IF(B55&gt;B56*1.1,"Rich","Fair"))</f>
        <v/>
      </c>
      <c r="D56" s="2" t="n"/>
      <c r="E56" s="2" t="n"/>
      <c r="F56" s="2" t="n"/>
      <c r="G56" s="2" t="n"/>
      <c r="H56" s="2" t="n"/>
      <c r="I56" s="2" t="n"/>
      <c r="J56" s="2" t="n"/>
      <c r="K56" s="2" t="n"/>
    </row>
    <row r="57">
      <c r="A57" s="2" t="inlineStr">
        <is>
          <t>P/E target (NTM)</t>
        </is>
      </c>
      <c r="B57" s="54">
        <f>B36</f>
        <v/>
      </c>
      <c r="C57" s="82">
        <f>IF(B55&lt;B38,"Cheap",IF(B55&gt;B37,"Rich","Fair"))</f>
        <v/>
      </c>
      <c r="D57" s="2" t="n"/>
      <c r="E57" s="2" t="n"/>
      <c r="F57" s="2" t="n"/>
      <c r="G57" s="2" t="n"/>
      <c r="H57" s="2" t="n"/>
      <c r="I57" s="2" t="n"/>
      <c r="J57" s="2" t="n"/>
      <c r="K57" s="2" t="n"/>
    </row>
    <row r="58">
      <c r="A58" s="2" t="inlineStr">
        <is>
          <t>P/B target (NTM)</t>
        </is>
      </c>
      <c r="B58" s="54">
        <f>B49</f>
        <v/>
      </c>
      <c r="C58" s="82">
        <f>IF(B55&lt;B51,"Cheap",IF(B55&gt;B50,"Rich","Fair"))</f>
        <v/>
      </c>
      <c r="D58" s="2" t="n"/>
      <c r="E58" s="2" t="n"/>
      <c r="F58" s="2" t="n"/>
      <c r="G58" s="2" t="n"/>
      <c r="H58" s="2" t="n"/>
      <c r="I58" s="2" t="n"/>
      <c r="J58" s="2" t="n"/>
      <c r="K58" s="2" t="n"/>
    </row>
    <row r="59">
      <c r="A59" s="3" t="inlineStr">
        <is>
          <t>Composite</t>
        </is>
      </c>
      <c r="B59" s="83">
        <f>IF(AND(C56="Cheap",C57="Cheap",C58="Cheap"),"CHEAP — buy",IF(AND(C56="Rich",C57="Rich",C58="Rich"),"RICH — sell",IF(OR(C56="Rich",C57="Rich",C58="Rich"),"Mixed-rich","Fair / Mixed-cheap")))</f>
        <v/>
      </c>
      <c r="C59" s="2" t="n"/>
      <c r="D59" s="2" t="n"/>
      <c r="E59" s="2" t="n"/>
      <c r="F59" s="2" t="n"/>
      <c r="G59" s="2" t="n"/>
      <c r="H59" s="2" t="n"/>
      <c r="I59" s="2" t="n"/>
      <c r="J59" s="2" t="n"/>
      <c r="K59" s="2"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Z43"/>
  <sheetViews>
    <sheetView workbookViewId="0">
      <selection activeCell="A1" sqref="A1"/>
    </sheetView>
  </sheetViews>
  <sheetFormatPr baseColWidth="8" defaultRowHeight="15"/>
  <cols>
    <col width="32" customWidth="1" min="1" max="1"/>
    <col width="9"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s>
  <sheetData>
    <row r="1">
      <c r="A1" s="84" t="inlineStr">
        <is>
          <t>Industry / Macro Indicators — context for Sumitomo Rubber Industries (¥億, monthly)</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row>
    <row r="2">
      <c r="A2" s="35" t="inlineStr">
        <is>
          <t>Rows = indicators; Cols = months (latest right). Easy to plot. Sources: JMTBA + MOF 貿易統計</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row>
    <row r="3">
      <c r="A3" s="2" t="n"/>
      <c r="B3" s="2" t="n"/>
      <c r="C3" s="2" t="n"/>
      <c r="D3" s="2" t="n"/>
      <c r="E3" s="2" t="n"/>
      <c r="F3" s="2" t="n"/>
      <c r="G3" s="2" t="n"/>
      <c r="H3" s="2" t="n"/>
      <c r="I3" s="2" t="n"/>
      <c r="J3" s="2" t="n"/>
      <c r="K3" s="2" t="n"/>
      <c r="L3" s="2" t="n"/>
      <c r="M3" s="2" t="n"/>
      <c r="N3" s="2" t="n"/>
      <c r="O3" s="2" t="n"/>
      <c r="P3" s="2" t="n"/>
      <c r="Q3" s="2" t="n"/>
      <c r="R3" s="2" t="n"/>
      <c r="S3" s="2" t="n"/>
      <c r="T3" s="2" t="n"/>
      <c r="U3" s="2" t="n"/>
      <c r="V3" s="2" t="n"/>
      <c r="W3" s="2" t="n"/>
      <c r="X3" s="2" t="n"/>
      <c r="Y3" s="2" t="n"/>
      <c r="Z3" s="2" t="n"/>
    </row>
    <row r="4">
      <c r="A4" s="6" t="inlineStr">
        <is>
          <t>Indicator</t>
        </is>
      </c>
      <c r="B4" s="37" t="inlineStr">
        <is>
          <t>202408</t>
        </is>
      </c>
      <c r="C4" s="37" t="inlineStr">
        <is>
          <t>202409</t>
        </is>
      </c>
      <c r="D4" s="37" t="inlineStr">
        <is>
          <t>202410</t>
        </is>
      </c>
      <c r="E4" s="37" t="inlineStr">
        <is>
          <t>202411</t>
        </is>
      </c>
      <c r="F4" s="37" t="inlineStr">
        <is>
          <t>202412</t>
        </is>
      </c>
      <c r="G4" s="37" t="inlineStr">
        <is>
          <t>202501</t>
        </is>
      </c>
      <c r="H4" s="37" t="inlineStr">
        <is>
          <t>202502</t>
        </is>
      </c>
      <c r="I4" s="37" t="inlineStr">
        <is>
          <t>202503</t>
        </is>
      </c>
      <c r="J4" s="37" t="inlineStr">
        <is>
          <t>202504</t>
        </is>
      </c>
      <c r="K4" s="37" t="inlineStr">
        <is>
          <t>202505</t>
        </is>
      </c>
      <c r="L4" s="37" t="inlineStr">
        <is>
          <t>202506</t>
        </is>
      </c>
      <c r="M4" s="37" t="inlineStr">
        <is>
          <t>202507</t>
        </is>
      </c>
      <c r="N4" s="37" t="inlineStr">
        <is>
          <t>202508</t>
        </is>
      </c>
      <c r="O4" s="37" t="inlineStr">
        <is>
          <t>202509</t>
        </is>
      </c>
      <c r="P4" s="37" t="inlineStr">
        <is>
          <t>202510</t>
        </is>
      </c>
      <c r="Q4" s="37" t="inlineStr">
        <is>
          <t>202511</t>
        </is>
      </c>
      <c r="R4" s="37" t="inlineStr">
        <is>
          <t>202512</t>
        </is>
      </c>
      <c r="S4" s="37" t="inlineStr">
        <is>
          <t>202601</t>
        </is>
      </c>
      <c r="T4" s="37" t="inlineStr">
        <is>
          <t>202602</t>
        </is>
      </c>
      <c r="U4" s="37" t="inlineStr">
        <is>
          <t>202603</t>
        </is>
      </c>
      <c r="V4" s="37" t="inlineStr">
        <is>
          <t>202604</t>
        </is>
      </c>
      <c r="W4" s="37" t="inlineStr">
        <is>
          <t>202605</t>
        </is>
      </c>
      <c r="X4" s="37" t="inlineStr">
        <is>
          <t>202606</t>
        </is>
      </c>
      <c r="Y4" s="37" t="inlineStr">
        <is>
          <t>202607</t>
        </is>
      </c>
      <c r="Z4" s="37" t="inlineStr">
        <is>
          <t>202608</t>
        </is>
      </c>
    </row>
    <row r="5">
      <c r="A5" s="3" t="inlineStr">
        <is>
          <t>JMTBA total (億)</t>
        </is>
      </c>
      <c r="B5" s="10" t="n">
        <v>1107.7</v>
      </c>
      <c r="C5" s="10" t="n">
        <v>1253.6</v>
      </c>
      <c r="D5" s="10" t="n">
        <v>1225.5</v>
      </c>
      <c r="E5" s="10" t="n">
        <v>1193.3</v>
      </c>
      <c r="F5" s="10" t="n">
        <v>1430.9</v>
      </c>
      <c r="G5" s="10" t="n">
        <v>1161.5</v>
      </c>
      <c r="H5" s="10" t="n">
        <v>1182</v>
      </c>
      <c r="I5" s="10" t="n">
        <v>1511</v>
      </c>
      <c r="J5" s="10" t="n">
        <v>1302.1</v>
      </c>
      <c r="K5" s="10" t="n">
        <v>1287.2</v>
      </c>
      <c r="L5" s="10" t="n">
        <v>1331.6</v>
      </c>
      <c r="M5" s="10" t="n">
        <v>1283.6</v>
      </c>
      <c r="N5" s="10" t="n">
        <v>1201.7</v>
      </c>
      <c r="O5" s="10" t="n">
        <v>1391.5</v>
      </c>
      <c r="P5" s="10" t="n">
        <v>1434.6</v>
      </c>
      <c r="Q5" s="10" t="n">
        <v>1370</v>
      </c>
      <c r="R5" s="10" t="n">
        <v>1586.4</v>
      </c>
      <c r="S5" s="10" t="n">
        <v>1455.8</v>
      </c>
      <c r="T5" s="10" t="n">
        <v>1467.4</v>
      </c>
      <c r="U5" s="10" t="n">
        <v>1934.7</v>
      </c>
      <c r="V5" s="10" t="n">
        <v>1889.7</v>
      </c>
      <c r="W5" s="10" t="n">
        <v>1770.1</v>
      </c>
      <c r="X5" s="10" t="n">
        <v>2033.8</v>
      </c>
      <c r="Y5" s="10" t="n">
        <v>1930.9</v>
      </c>
      <c r="Z5" s="2" t="n"/>
    </row>
    <row r="6">
      <c r="A6" s="2" t="inlineStr">
        <is>
          <t xml:space="preserve">  total YoY %</t>
        </is>
      </c>
      <c r="B6" s="2" t="n"/>
      <c r="C6" s="2" t="n"/>
      <c r="D6" s="2" t="n"/>
      <c r="E6" s="2" t="n"/>
      <c r="F6" s="2" t="n"/>
      <c r="G6" s="2" t="n"/>
      <c r="H6" s="2" t="n"/>
      <c r="I6" s="2" t="n"/>
      <c r="J6" s="2" t="n"/>
      <c r="K6" s="2" t="n"/>
      <c r="L6" s="2" t="n"/>
      <c r="M6" s="2" t="n"/>
      <c r="N6" s="48">
        <f>IFERROR(N5/B5-1,"")</f>
        <v/>
      </c>
      <c r="O6" s="48">
        <f>IFERROR(O5/C5-1,"")</f>
        <v/>
      </c>
      <c r="P6" s="48">
        <f>IFERROR(P5/D5-1,"")</f>
        <v/>
      </c>
      <c r="Q6" s="48">
        <f>IFERROR(Q5/E5-1,"")</f>
        <v/>
      </c>
      <c r="R6" s="48">
        <f>IFERROR(R5/F5-1,"")</f>
        <v/>
      </c>
      <c r="S6" s="48">
        <f>IFERROR(S5/G5-1,"")</f>
        <v/>
      </c>
      <c r="T6" s="48">
        <f>IFERROR(T5/H5-1,"")</f>
        <v/>
      </c>
      <c r="U6" s="48">
        <f>IFERROR(U5/I5-1,"")</f>
        <v/>
      </c>
      <c r="V6" s="48">
        <f>IFERROR(V5/J5-1,"")</f>
        <v/>
      </c>
      <c r="W6" s="48">
        <f>IFERROR(W5/K5-1,"")</f>
        <v/>
      </c>
      <c r="X6" s="48">
        <f>IFERROR(X5/L5-1,"")</f>
        <v/>
      </c>
      <c r="Y6" s="48">
        <f>IFERROR(Y5/M5-1,"")</f>
        <v/>
      </c>
      <c r="Z6" s="48">
        <f>IFERROR(Z5/N5-1,"")</f>
        <v/>
      </c>
    </row>
    <row r="7">
      <c r="A7" s="3" t="inlineStr">
        <is>
          <t>JMTBA domestic (億)</t>
        </is>
      </c>
      <c r="B7" s="10" t="n">
        <v>321.9</v>
      </c>
      <c r="C7" s="10" t="n">
        <v>415.3</v>
      </c>
      <c r="D7" s="10" t="n">
        <v>334.4</v>
      </c>
      <c r="E7" s="10" t="n">
        <v>343.3</v>
      </c>
      <c r="F7" s="10" t="n">
        <v>399.2</v>
      </c>
      <c r="G7" s="10" t="n">
        <v>320</v>
      </c>
      <c r="H7" s="10" t="n">
        <v>337.7</v>
      </c>
      <c r="I7" s="10" t="n">
        <v>492.6</v>
      </c>
      <c r="J7" s="10" t="n">
        <v>343.8</v>
      </c>
      <c r="K7" s="10" t="n">
        <v>330.2</v>
      </c>
      <c r="L7" s="10" t="n">
        <v>398.7</v>
      </c>
      <c r="M7" s="10" t="n">
        <v>354.5</v>
      </c>
      <c r="N7" s="10" t="n">
        <v>318.9</v>
      </c>
      <c r="O7" s="10" t="n">
        <v>436.4</v>
      </c>
      <c r="P7" s="10" t="n">
        <v>356.9</v>
      </c>
      <c r="Q7" s="10" t="n">
        <v>319.9</v>
      </c>
      <c r="R7" s="10" t="n">
        <v>399.1</v>
      </c>
      <c r="S7" s="10" t="n">
        <v>326.2</v>
      </c>
      <c r="T7" s="10" t="n">
        <v>371.6</v>
      </c>
      <c r="U7" s="10" t="n">
        <v>504.7</v>
      </c>
      <c r="V7" s="10" t="n">
        <v>492.9</v>
      </c>
      <c r="W7" s="10" t="n">
        <v>453.3</v>
      </c>
      <c r="X7" s="10" t="n">
        <v>580.2</v>
      </c>
      <c r="Y7" s="10" t="n">
        <v>532.4</v>
      </c>
      <c r="Z7" s="2" t="n"/>
    </row>
    <row r="8">
      <c r="A8" s="2" t="inlineStr">
        <is>
          <t xml:space="preserve">  domestic YoY %</t>
        </is>
      </c>
      <c r="B8" s="2" t="n"/>
      <c r="C8" s="2" t="n"/>
      <c r="D8" s="2" t="n"/>
      <c r="E8" s="2" t="n"/>
      <c r="F8" s="2" t="n"/>
      <c r="G8" s="2" t="n"/>
      <c r="H8" s="2" t="n"/>
      <c r="I8" s="2" t="n"/>
      <c r="J8" s="2" t="n"/>
      <c r="K8" s="2" t="n"/>
      <c r="L8" s="2" t="n"/>
      <c r="M8" s="2" t="n"/>
      <c r="N8" s="48">
        <f>IFERROR(N7/B7-1,"")</f>
        <v/>
      </c>
      <c r="O8" s="48">
        <f>IFERROR(O7/C7-1,"")</f>
        <v/>
      </c>
      <c r="P8" s="48">
        <f>IFERROR(P7/D7-1,"")</f>
        <v/>
      </c>
      <c r="Q8" s="48">
        <f>IFERROR(Q7/E7-1,"")</f>
        <v/>
      </c>
      <c r="R8" s="48">
        <f>IFERROR(R7/F7-1,"")</f>
        <v/>
      </c>
      <c r="S8" s="48">
        <f>IFERROR(S7/G7-1,"")</f>
        <v/>
      </c>
      <c r="T8" s="48">
        <f>IFERROR(T7/H7-1,"")</f>
        <v/>
      </c>
      <c r="U8" s="48">
        <f>IFERROR(U7/I7-1,"")</f>
        <v/>
      </c>
      <c r="V8" s="48">
        <f>IFERROR(V7/J7-1,"")</f>
        <v/>
      </c>
      <c r="W8" s="48">
        <f>IFERROR(W7/K7-1,"")</f>
        <v/>
      </c>
      <c r="X8" s="48">
        <f>IFERROR(X7/L7-1,"")</f>
        <v/>
      </c>
      <c r="Y8" s="48">
        <f>IFERROR(Y7/M7-1,"")</f>
        <v/>
      </c>
      <c r="Z8" s="48">
        <f>IFERROR(Z7/N7-1,"")</f>
        <v/>
      </c>
    </row>
    <row r="9">
      <c r="A9" s="3" t="inlineStr">
        <is>
          <t>JMTBA foreign (億)</t>
        </is>
      </c>
      <c r="B9" s="10" t="n">
        <v>785.8</v>
      </c>
      <c r="C9" s="10" t="n">
        <v>838.3</v>
      </c>
      <c r="D9" s="10" t="n">
        <v>891.1</v>
      </c>
      <c r="E9" s="10" t="n">
        <v>850</v>
      </c>
      <c r="F9" s="10" t="n">
        <v>1031.7</v>
      </c>
      <c r="G9" s="10" t="n">
        <v>841.5</v>
      </c>
      <c r="H9" s="10" t="n">
        <v>844.3</v>
      </c>
      <c r="I9" s="10" t="n">
        <v>1018.4</v>
      </c>
      <c r="J9" s="10" t="n">
        <v>958.4</v>
      </c>
      <c r="K9" s="10" t="n">
        <v>957</v>
      </c>
      <c r="L9" s="10" t="n">
        <v>932.9</v>
      </c>
      <c r="M9" s="10" t="n">
        <v>929.1</v>
      </c>
      <c r="N9" s="10" t="n">
        <v>882.8</v>
      </c>
      <c r="O9" s="10" t="n">
        <v>955</v>
      </c>
      <c r="P9" s="10" t="n">
        <v>1077.6</v>
      </c>
      <c r="Q9" s="10" t="n">
        <v>1050.2</v>
      </c>
      <c r="R9" s="10" t="n">
        <v>1187.4</v>
      </c>
      <c r="S9" s="10" t="n">
        <v>1129.5</v>
      </c>
      <c r="T9" s="10" t="n">
        <v>1095.8</v>
      </c>
      <c r="U9" s="10" t="n">
        <v>1430</v>
      </c>
      <c r="V9" s="10" t="n">
        <v>1396.8</v>
      </c>
      <c r="W9" s="10" t="n">
        <v>1316.8</v>
      </c>
      <c r="X9" s="10" t="n">
        <v>1453.5</v>
      </c>
      <c r="Y9" s="10" t="n">
        <v>1398.5</v>
      </c>
      <c r="Z9" s="2" t="n"/>
    </row>
    <row r="10">
      <c r="A10" s="2" t="inlineStr">
        <is>
          <t xml:space="preserve">  foreign YoY %</t>
        </is>
      </c>
      <c r="B10" s="2" t="n"/>
      <c r="C10" s="2" t="n"/>
      <c r="D10" s="2" t="n"/>
      <c r="E10" s="2" t="n"/>
      <c r="F10" s="2" t="n"/>
      <c r="G10" s="2" t="n"/>
      <c r="H10" s="2" t="n"/>
      <c r="I10" s="2" t="n"/>
      <c r="J10" s="2" t="n"/>
      <c r="K10" s="2" t="n"/>
      <c r="L10" s="2" t="n"/>
      <c r="M10" s="2" t="n"/>
      <c r="N10" s="48">
        <f>IFERROR(N9/B9-1,"")</f>
        <v/>
      </c>
      <c r="O10" s="48">
        <f>IFERROR(O9/C9-1,"")</f>
        <v/>
      </c>
      <c r="P10" s="48">
        <f>IFERROR(P9/D9-1,"")</f>
        <v/>
      </c>
      <c r="Q10" s="48">
        <f>IFERROR(Q9/E9-1,"")</f>
        <v/>
      </c>
      <c r="R10" s="48">
        <f>IFERROR(R9/F9-1,"")</f>
        <v/>
      </c>
      <c r="S10" s="48">
        <f>IFERROR(S9/G9-1,"")</f>
        <v/>
      </c>
      <c r="T10" s="48">
        <f>IFERROR(T9/H9-1,"")</f>
        <v/>
      </c>
      <c r="U10" s="48">
        <f>IFERROR(U9/I9-1,"")</f>
        <v/>
      </c>
      <c r="V10" s="48">
        <f>IFERROR(V9/J9-1,"")</f>
        <v/>
      </c>
      <c r="W10" s="48">
        <f>IFERROR(W9/K9-1,"")</f>
        <v/>
      </c>
      <c r="X10" s="48">
        <f>IFERROR(X9/L9-1,"")</f>
        <v/>
      </c>
      <c r="Y10" s="48">
        <f>IFERROR(Y9/M9-1,"")</f>
        <v/>
      </c>
      <c r="Z10" s="48">
        <f>IFERROR(Z9/N9-1,"")</f>
        <v/>
      </c>
    </row>
    <row r="11">
      <c r="A11" s="3" t="inlineStr">
        <is>
          <t>JMTBA backlog (億)</t>
        </is>
      </c>
      <c r="B11" s="10" t="n">
        <v>8005.3</v>
      </c>
      <c r="C11" s="10" t="n">
        <v>7677.2</v>
      </c>
      <c r="D11" s="10" t="n">
        <v>7751.9</v>
      </c>
      <c r="E11" s="10" t="n">
        <v>7700</v>
      </c>
      <c r="F11" s="10" t="n">
        <v>7678.2</v>
      </c>
      <c r="G11" s="10" t="n">
        <v>7726.6</v>
      </c>
      <c r="H11" s="10" t="n">
        <v>7599.4</v>
      </c>
      <c r="I11" s="10" t="n">
        <v>6924</v>
      </c>
      <c r="J11" s="10" t="n">
        <v>6957.6</v>
      </c>
      <c r="K11" s="10" t="n">
        <v>7131.3</v>
      </c>
      <c r="L11" s="10" t="n">
        <v>7175.2</v>
      </c>
      <c r="M11" s="10" t="n">
        <v>7251</v>
      </c>
      <c r="N11" s="10" t="n">
        <v>7292</v>
      </c>
      <c r="O11" s="10" t="n">
        <v>7329.6</v>
      </c>
      <c r="P11" s="10" t="n">
        <v>7564.8</v>
      </c>
      <c r="Q11" s="10" t="n">
        <v>7594.8</v>
      </c>
      <c r="R11" s="10" t="n">
        <v>7574.3</v>
      </c>
      <c r="S11" s="10" t="n">
        <v>7750.9</v>
      </c>
      <c r="T11" s="10" t="n">
        <v>8026.2</v>
      </c>
      <c r="U11" s="10" t="n">
        <v>8116.1</v>
      </c>
      <c r="V11" s="10" t="n">
        <v>8782.5</v>
      </c>
      <c r="W11" s="10" t="n">
        <v>9282.200000000001</v>
      </c>
      <c r="X11" s="10" t="n">
        <v>9665</v>
      </c>
      <c r="Y11" s="10" t="n">
        <v>10091.4</v>
      </c>
      <c r="Z11" s="2" t="n"/>
    </row>
    <row r="12">
      <c r="A12" s="2" t="inlineStr">
        <is>
          <t xml:space="preserve">  backlog YoY %</t>
        </is>
      </c>
      <c r="B12" s="2" t="n"/>
      <c r="C12" s="2" t="n"/>
      <c r="D12" s="2" t="n"/>
      <c r="E12" s="2" t="n"/>
      <c r="F12" s="2" t="n"/>
      <c r="G12" s="2" t="n"/>
      <c r="H12" s="2" t="n"/>
      <c r="I12" s="2" t="n"/>
      <c r="J12" s="2" t="n"/>
      <c r="K12" s="2" t="n"/>
      <c r="L12" s="2" t="n"/>
      <c r="M12" s="2" t="n"/>
      <c r="N12" s="48">
        <f>IFERROR(N11/B11-1,"")</f>
        <v/>
      </c>
      <c r="O12" s="48">
        <f>IFERROR(O11/C11-1,"")</f>
        <v/>
      </c>
      <c r="P12" s="48">
        <f>IFERROR(P11/D11-1,"")</f>
        <v/>
      </c>
      <c r="Q12" s="48">
        <f>IFERROR(Q11/E11-1,"")</f>
        <v/>
      </c>
      <c r="R12" s="48">
        <f>IFERROR(R11/F11-1,"")</f>
        <v/>
      </c>
      <c r="S12" s="48">
        <f>IFERROR(S11/G11-1,"")</f>
        <v/>
      </c>
      <c r="T12" s="48">
        <f>IFERROR(T11/H11-1,"")</f>
        <v/>
      </c>
      <c r="U12" s="48">
        <f>IFERROR(U11/I11-1,"")</f>
        <v/>
      </c>
      <c r="V12" s="48">
        <f>IFERROR(V11/J11-1,"")</f>
        <v/>
      </c>
      <c r="W12" s="48">
        <f>IFERROR(W11/K11-1,"")</f>
        <v/>
      </c>
      <c r="X12" s="48">
        <f>IFERROR(X11/L11-1,"")</f>
        <v/>
      </c>
      <c r="Y12" s="48">
        <f>IFERROR(Y11/M11-1,"")</f>
        <v/>
      </c>
      <c r="Z12" s="48">
        <f>IFERROR(Z11/N11-1,"")</f>
        <v/>
      </c>
    </row>
    <row r="13">
      <c r="A13" s="2" t="n"/>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c r="A14" s="3" t="inlineStr">
        <is>
          <t>JMTBA total 速報 (億)</t>
        </is>
      </c>
      <c r="B14" s="2" t="n"/>
      <c r="C14" s="2" t="n"/>
      <c r="D14" s="2" t="n"/>
      <c r="E14" s="2" t="n"/>
      <c r="F14" s="2" t="n"/>
      <c r="G14" s="2" t="n"/>
      <c r="H14" s="2" t="n"/>
      <c r="I14" s="2" t="n"/>
      <c r="J14" s="2" t="n"/>
      <c r="K14" s="2" t="n"/>
      <c r="L14" s="2" t="n"/>
      <c r="M14" s="2" t="n"/>
      <c r="N14" s="2" t="n"/>
      <c r="O14" s="2" t="n"/>
      <c r="P14" s="2" t="n"/>
      <c r="Q14" s="2" t="n"/>
      <c r="R14" s="2" t="n"/>
      <c r="S14" s="2" t="n"/>
      <c r="T14" s="2" t="n"/>
      <c r="U14" s="10" t="n">
        <v>1935.1</v>
      </c>
      <c r="V14" s="10" t="n">
        <v>1889.7</v>
      </c>
      <c r="W14" s="10" t="n">
        <v>1768.3</v>
      </c>
      <c r="X14" s="10" t="n">
        <v>2035.2</v>
      </c>
      <c r="Y14" s="10" t="n">
        <v>1931</v>
      </c>
      <c r="Z14" s="10" t="n">
        <v>1978.8</v>
      </c>
    </row>
    <row r="15">
      <c r="A15" s="2" t="inlineStr">
        <is>
          <t xml:space="preserve">  total 速報 YoY %</t>
        </is>
      </c>
      <c r="B15" s="2" t="n"/>
      <c r="C15" s="2" t="n"/>
      <c r="D15" s="2" t="n"/>
      <c r="E15" s="2" t="n"/>
      <c r="F15" s="2" t="n"/>
      <c r="G15" s="2" t="n"/>
      <c r="H15" s="2" t="n"/>
      <c r="I15" s="2" t="n"/>
      <c r="J15" s="2" t="n"/>
      <c r="K15" s="2" t="n"/>
      <c r="L15" s="2" t="n"/>
      <c r="M15" s="2" t="n"/>
      <c r="N15" s="48">
        <f>IFERROR(N14/B14-1,"")</f>
        <v/>
      </c>
      <c r="O15" s="48">
        <f>IFERROR(O14/C14-1,"")</f>
        <v/>
      </c>
      <c r="P15" s="48">
        <f>IFERROR(P14/D14-1,"")</f>
        <v/>
      </c>
      <c r="Q15" s="48">
        <f>IFERROR(Q14/E14-1,"")</f>
        <v/>
      </c>
      <c r="R15" s="48">
        <f>IFERROR(R14/F14-1,"")</f>
        <v/>
      </c>
      <c r="S15" s="48">
        <f>IFERROR(S14/G14-1,"")</f>
        <v/>
      </c>
      <c r="T15" s="48">
        <f>IFERROR(T14/H14-1,"")</f>
        <v/>
      </c>
      <c r="U15" s="48">
        <f>IFERROR(U14/I14-1,"")</f>
        <v/>
      </c>
      <c r="V15" s="48">
        <f>IFERROR(V14/J14-1,"")</f>
        <v/>
      </c>
      <c r="W15" s="48">
        <f>IFERROR(W14/K14-1,"")</f>
        <v/>
      </c>
      <c r="X15" s="48">
        <f>IFERROR(X14/L14-1,"")</f>
        <v/>
      </c>
      <c r="Y15" s="48">
        <f>IFERROR(Y14/M14-1,"")</f>
        <v/>
      </c>
      <c r="Z15" s="48">
        <f>IFERROR(Z14/N14-1,"")</f>
        <v/>
      </c>
    </row>
    <row r="16">
      <c r="A16" s="3" t="inlineStr">
        <is>
          <t>JMTBA domestic 速報 (億)</t>
        </is>
      </c>
      <c r="B16" s="2" t="n"/>
      <c r="C16" s="2" t="n"/>
      <c r="D16" s="2" t="n"/>
      <c r="E16" s="2" t="n"/>
      <c r="F16" s="2" t="n"/>
      <c r="G16" s="2" t="n"/>
      <c r="H16" s="2" t="n"/>
      <c r="I16" s="2" t="n"/>
      <c r="J16" s="2" t="n"/>
      <c r="K16" s="2" t="n"/>
      <c r="L16" s="2" t="n"/>
      <c r="M16" s="2" t="n"/>
      <c r="N16" s="2" t="n"/>
      <c r="O16" s="2" t="n"/>
      <c r="P16" s="2" t="n"/>
      <c r="Q16" s="2" t="n"/>
      <c r="R16" s="2" t="n"/>
      <c r="S16" s="2" t="n"/>
      <c r="T16" s="2" t="n"/>
      <c r="U16" s="10" t="n">
        <v>505.1</v>
      </c>
      <c r="V16" s="10" t="n">
        <v>492.9</v>
      </c>
      <c r="W16" s="10" t="n">
        <v>450.4</v>
      </c>
      <c r="X16" s="10" t="n">
        <v>580.2</v>
      </c>
      <c r="Y16" s="10" t="n">
        <v>532.4</v>
      </c>
      <c r="Z16" s="10" t="n">
        <v>515.3</v>
      </c>
    </row>
    <row r="17">
      <c r="A17" s="2" t="inlineStr">
        <is>
          <t xml:space="preserve">  domestic 速報 YoY %</t>
        </is>
      </c>
      <c r="B17" s="2" t="n"/>
      <c r="C17" s="2" t="n"/>
      <c r="D17" s="2" t="n"/>
      <c r="E17" s="2" t="n"/>
      <c r="F17" s="2" t="n"/>
      <c r="G17" s="2" t="n"/>
      <c r="H17" s="2" t="n"/>
      <c r="I17" s="2" t="n"/>
      <c r="J17" s="2" t="n"/>
      <c r="K17" s="2" t="n"/>
      <c r="L17" s="2" t="n"/>
      <c r="M17" s="2" t="n"/>
      <c r="N17" s="48">
        <f>IFERROR(N16/B16-1,"")</f>
        <v/>
      </c>
      <c r="O17" s="48">
        <f>IFERROR(O16/C16-1,"")</f>
        <v/>
      </c>
      <c r="P17" s="48">
        <f>IFERROR(P16/D16-1,"")</f>
        <v/>
      </c>
      <c r="Q17" s="48">
        <f>IFERROR(Q16/E16-1,"")</f>
        <v/>
      </c>
      <c r="R17" s="48">
        <f>IFERROR(R16/F16-1,"")</f>
        <v/>
      </c>
      <c r="S17" s="48">
        <f>IFERROR(S16/G16-1,"")</f>
        <v/>
      </c>
      <c r="T17" s="48">
        <f>IFERROR(T16/H16-1,"")</f>
        <v/>
      </c>
      <c r="U17" s="48">
        <f>IFERROR(U16/I16-1,"")</f>
        <v/>
      </c>
      <c r="V17" s="48">
        <f>IFERROR(V16/J16-1,"")</f>
        <v/>
      </c>
      <c r="W17" s="48">
        <f>IFERROR(W16/K16-1,"")</f>
        <v/>
      </c>
      <c r="X17" s="48">
        <f>IFERROR(X16/L16-1,"")</f>
        <v/>
      </c>
      <c r="Y17" s="48">
        <f>IFERROR(Y16/M16-1,"")</f>
        <v/>
      </c>
      <c r="Z17" s="48">
        <f>IFERROR(Z16/N16-1,"")</f>
        <v/>
      </c>
    </row>
    <row r="18">
      <c r="A18" s="3" t="inlineStr">
        <is>
          <t>JMTBA foreign 速報 (億)</t>
        </is>
      </c>
      <c r="B18" s="2" t="n"/>
      <c r="C18" s="2" t="n"/>
      <c r="D18" s="2" t="n"/>
      <c r="E18" s="2" t="n"/>
      <c r="F18" s="2" t="n"/>
      <c r="G18" s="2" t="n"/>
      <c r="H18" s="2" t="n"/>
      <c r="I18" s="2" t="n"/>
      <c r="J18" s="2" t="n"/>
      <c r="K18" s="2" t="n"/>
      <c r="L18" s="2" t="n"/>
      <c r="M18" s="2" t="n"/>
      <c r="N18" s="2" t="n"/>
      <c r="O18" s="2" t="n"/>
      <c r="P18" s="2" t="n"/>
      <c r="Q18" s="2" t="n"/>
      <c r="R18" s="2" t="n"/>
      <c r="S18" s="2" t="n"/>
      <c r="T18" s="2" t="n"/>
      <c r="U18" s="10" t="n">
        <v>1430</v>
      </c>
      <c r="V18" s="10" t="n">
        <v>1396.8</v>
      </c>
      <c r="W18" s="10" t="n">
        <v>1318</v>
      </c>
      <c r="X18" s="10" t="n">
        <v>1455</v>
      </c>
      <c r="Y18" s="10" t="n">
        <v>1398.6</v>
      </c>
      <c r="Z18" s="10" t="n">
        <v>1463.5</v>
      </c>
    </row>
    <row r="19">
      <c r="A19" s="2" t="inlineStr">
        <is>
          <t xml:space="preserve">  foreign 速報 YoY %</t>
        </is>
      </c>
      <c r="B19" s="2" t="n"/>
      <c r="C19" s="2" t="n"/>
      <c r="D19" s="2" t="n"/>
      <c r="E19" s="2" t="n"/>
      <c r="F19" s="2" t="n"/>
      <c r="G19" s="2" t="n"/>
      <c r="H19" s="2" t="n"/>
      <c r="I19" s="2" t="n"/>
      <c r="J19" s="2" t="n"/>
      <c r="K19" s="2" t="n"/>
      <c r="L19" s="2" t="n"/>
      <c r="M19" s="2" t="n"/>
      <c r="N19" s="48">
        <f>IFERROR(N18/B18-1,"")</f>
        <v/>
      </c>
      <c r="O19" s="48">
        <f>IFERROR(O18/C18-1,"")</f>
        <v/>
      </c>
      <c r="P19" s="48">
        <f>IFERROR(P18/D18-1,"")</f>
        <v/>
      </c>
      <c r="Q19" s="48">
        <f>IFERROR(Q18/E18-1,"")</f>
        <v/>
      </c>
      <c r="R19" s="48">
        <f>IFERROR(R18/F18-1,"")</f>
        <v/>
      </c>
      <c r="S19" s="48">
        <f>IFERROR(S18/G18-1,"")</f>
        <v/>
      </c>
      <c r="T19" s="48">
        <f>IFERROR(T18/H18-1,"")</f>
        <v/>
      </c>
      <c r="U19" s="48">
        <f>IFERROR(U18/I18-1,"")</f>
        <v/>
      </c>
      <c r="V19" s="48">
        <f>IFERROR(V18/J18-1,"")</f>
        <v/>
      </c>
      <c r="W19" s="48">
        <f>IFERROR(W18/K18-1,"")</f>
        <v/>
      </c>
      <c r="X19" s="48">
        <f>IFERROR(X18/L18-1,"")</f>
        <v/>
      </c>
      <c r="Y19" s="48">
        <f>IFERROR(Y18/M18-1,"")</f>
        <v/>
      </c>
      <c r="Z19" s="48">
        <f>IFERROR(Z18/N18-1,"")</f>
        <v/>
      </c>
    </row>
    <row r="20">
      <c r="A20" s="2" t="n"/>
      <c r="B20" s="2" t="n"/>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row>
    <row r="21">
      <c r="A21" s="3" t="inlineStr">
        <is>
          <t>JMTBA 中国 (億)</t>
        </is>
      </c>
      <c r="B21" s="10" t="n">
        <v>285.3</v>
      </c>
      <c r="C21" s="10" t="n">
        <v>274.2</v>
      </c>
      <c r="D21" s="10" t="n">
        <v>290</v>
      </c>
      <c r="E21" s="10" t="n">
        <v>293.2</v>
      </c>
      <c r="F21" s="10" t="n">
        <v>362.5</v>
      </c>
      <c r="G21" s="10" t="n">
        <v>276</v>
      </c>
      <c r="H21" s="10" t="n">
        <v>266.8</v>
      </c>
      <c r="I21" s="10" t="n">
        <v>360.9</v>
      </c>
      <c r="J21" s="10" t="n">
        <v>339.8</v>
      </c>
      <c r="K21" s="10" t="n">
        <v>309.5</v>
      </c>
      <c r="L21" s="10" t="n">
        <v>321.8</v>
      </c>
      <c r="M21" s="10" t="n">
        <v>319.5</v>
      </c>
      <c r="N21" s="10" t="n">
        <v>293.2</v>
      </c>
      <c r="O21" s="10" t="n">
        <v>342.8</v>
      </c>
      <c r="P21" s="10" t="n">
        <v>317.9</v>
      </c>
      <c r="Q21" s="10" t="n">
        <v>381.3</v>
      </c>
      <c r="R21" s="10" t="n">
        <v>371.2</v>
      </c>
      <c r="S21" s="10" t="n">
        <v>433</v>
      </c>
      <c r="T21" s="10" t="n">
        <v>374.6</v>
      </c>
      <c r="U21" s="10" t="n">
        <v>513.5</v>
      </c>
      <c r="V21" s="10" t="n">
        <v>533.3</v>
      </c>
      <c r="W21" s="10" t="n">
        <v>512.5</v>
      </c>
      <c r="X21" s="10" t="n">
        <v>564.9</v>
      </c>
      <c r="Y21" s="10" t="n">
        <v>486.3</v>
      </c>
      <c r="Z21" s="2" t="n"/>
    </row>
    <row r="22">
      <c r="A22" s="2" t="inlineStr">
        <is>
          <t xml:space="preserve">  中国 YoY %</t>
        </is>
      </c>
      <c r="B22" s="2" t="n"/>
      <c r="C22" s="2" t="n"/>
      <c r="D22" s="2" t="n"/>
      <c r="E22" s="2" t="n"/>
      <c r="F22" s="2" t="n"/>
      <c r="G22" s="2" t="n"/>
      <c r="H22" s="2" t="n"/>
      <c r="I22" s="2" t="n"/>
      <c r="J22" s="2" t="n"/>
      <c r="K22" s="2" t="n"/>
      <c r="L22" s="2" t="n"/>
      <c r="M22" s="2" t="n"/>
      <c r="N22" s="48">
        <f>IFERROR(N21/B21-1,"")</f>
        <v/>
      </c>
      <c r="O22" s="48">
        <f>IFERROR(O21/C21-1,"")</f>
        <v/>
      </c>
      <c r="P22" s="48">
        <f>IFERROR(P21/D21-1,"")</f>
        <v/>
      </c>
      <c r="Q22" s="48">
        <f>IFERROR(Q21/E21-1,"")</f>
        <v/>
      </c>
      <c r="R22" s="48">
        <f>IFERROR(R21/F21-1,"")</f>
        <v/>
      </c>
      <c r="S22" s="48">
        <f>IFERROR(S21/G21-1,"")</f>
        <v/>
      </c>
      <c r="T22" s="48">
        <f>IFERROR(T21/H21-1,"")</f>
        <v/>
      </c>
      <c r="U22" s="48">
        <f>IFERROR(U21/I21-1,"")</f>
        <v/>
      </c>
      <c r="V22" s="48">
        <f>IFERROR(V21/J21-1,"")</f>
        <v/>
      </c>
      <c r="W22" s="48">
        <f>IFERROR(W21/K21-1,"")</f>
        <v/>
      </c>
      <c r="X22" s="48">
        <f>IFERROR(X21/L21-1,"")</f>
        <v/>
      </c>
      <c r="Y22" s="48">
        <f>IFERROR(Y21/M21-1,"")</f>
        <v/>
      </c>
      <c r="Z22" s="48">
        <f>IFERROR(Z21/N21-1,"")</f>
        <v/>
      </c>
    </row>
    <row r="23">
      <c r="A23" s="3" t="inlineStr">
        <is>
          <t>JMTBA アメリカ (億)</t>
        </is>
      </c>
      <c r="B23" s="10" t="n">
        <v>205.1</v>
      </c>
      <c r="C23" s="10" t="n">
        <v>221.6</v>
      </c>
      <c r="D23" s="10" t="n">
        <v>174.2</v>
      </c>
      <c r="E23" s="10" t="n">
        <v>235.8</v>
      </c>
      <c r="F23" s="10" t="n">
        <v>289.4</v>
      </c>
      <c r="G23" s="10" t="n">
        <v>207.7</v>
      </c>
      <c r="H23" s="10" t="n">
        <v>230.3</v>
      </c>
      <c r="I23" s="10" t="n">
        <v>247</v>
      </c>
      <c r="J23" s="10" t="n">
        <v>272.3</v>
      </c>
      <c r="K23" s="10" t="n">
        <v>289.9</v>
      </c>
      <c r="L23" s="10" t="n">
        <v>249.3</v>
      </c>
      <c r="M23" s="10" t="n">
        <v>237.9</v>
      </c>
      <c r="N23" s="10" t="n">
        <v>240.8</v>
      </c>
      <c r="O23" s="10" t="n">
        <v>259</v>
      </c>
      <c r="P23" s="10" t="n">
        <v>282.9</v>
      </c>
      <c r="Q23" s="10" t="n">
        <v>263.9</v>
      </c>
      <c r="R23" s="10" t="n">
        <v>345.8</v>
      </c>
      <c r="S23" s="10" t="n">
        <v>310.9</v>
      </c>
      <c r="T23" s="10" t="n">
        <v>312.1</v>
      </c>
      <c r="U23" s="10" t="n">
        <v>392.6</v>
      </c>
      <c r="V23" s="10" t="n">
        <v>358.1</v>
      </c>
      <c r="W23" s="10" t="n">
        <v>303.5</v>
      </c>
      <c r="X23" s="10" t="n">
        <v>360</v>
      </c>
      <c r="Y23" s="10" t="n">
        <v>371.1</v>
      </c>
      <c r="Z23" s="2" t="n"/>
    </row>
    <row r="24">
      <c r="A24" s="2" t="inlineStr">
        <is>
          <t xml:space="preserve">  アメリカ YoY %</t>
        </is>
      </c>
      <c r="B24" s="2" t="n"/>
      <c r="C24" s="2" t="n"/>
      <c r="D24" s="2" t="n"/>
      <c r="E24" s="2" t="n"/>
      <c r="F24" s="2" t="n"/>
      <c r="G24" s="2" t="n"/>
      <c r="H24" s="2" t="n"/>
      <c r="I24" s="2" t="n"/>
      <c r="J24" s="2" t="n"/>
      <c r="K24" s="2" t="n"/>
      <c r="L24" s="2" t="n"/>
      <c r="M24" s="2" t="n"/>
      <c r="N24" s="48">
        <f>IFERROR(N23/B23-1,"")</f>
        <v/>
      </c>
      <c r="O24" s="48">
        <f>IFERROR(O23/C23-1,"")</f>
        <v/>
      </c>
      <c r="P24" s="48">
        <f>IFERROR(P23/D23-1,"")</f>
        <v/>
      </c>
      <c r="Q24" s="48">
        <f>IFERROR(Q23/E23-1,"")</f>
        <v/>
      </c>
      <c r="R24" s="48">
        <f>IFERROR(R23/F23-1,"")</f>
        <v/>
      </c>
      <c r="S24" s="48">
        <f>IFERROR(S23/G23-1,"")</f>
        <v/>
      </c>
      <c r="T24" s="48">
        <f>IFERROR(T23/H23-1,"")</f>
        <v/>
      </c>
      <c r="U24" s="48">
        <f>IFERROR(U23/I23-1,"")</f>
        <v/>
      </c>
      <c r="V24" s="48">
        <f>IFERROR(V23/J23-1,"")</f>
        <v/>
      </c>
      <c r="W24" s="48">
        <f>IFERROR(W23/K23-1,"")</f>
        <v/>
      </c>
      <c r="X24" s="48">
        <f>IFERROR(X23/L23-1,"")</f>
        <v/>
      </c>
      <c r="Y24" s="48">
        <f>IFERROR(Y23/M23-1,"")</f>
        <v/>
      </c>
      <c r="Z24" s="48">
        <f>IFERROR(Z23/N23-1,"")</f>
        <v/>
      </c>
    </row>
    <row r="25">
      <c r="A25" s="3" t="inlineStr">
        <is>
          <t>JMTBA インド (億)</t>
        </is>
      </c>
      <c r="B25" s="10" t="n">
        <v>52.7</v>
      </c>
      <c r="C25" s="10" t="n">
        <v>55.3</v>
      </c>
      <c r="D25" s="10" t="n">
        <v>97.09999999999999</v>
      </c>
      <c r="E25" s="10" t="n">
        <v>55.6</v>
      </c>
      <c r="F25" s="10" t="n">
        <v>50.6</v>
      </c>
      <c r="G25" s="10" t="n">
        <v>83.90000000000001</v>
      </c>
      <c r="H25" s="10" t="n">
        <v>53.9</v>
      </c>
      <c r="I25" s="10" t="n">
        <v>98.2</v>
      </c>
      <c r="J25" s="10" t="n">
        <v>47.4</v>
      </c>
      <c r="K25" s="10" t="n">
        <v>45.3</v>
      </c>
      <c r="L25" s="10" t="n">
        <v>51.4</v>
      </c>
      <c r="M25" s="10" t="n">
        <v>61.1</v>
      </c>
      <c r="N25" s="10" t="n">
        <v>49.8</v>
      </c>
      <c r="O25" s="10" t="n">
        <v>53.2</v>
      </c>
      <c r="P25" s="10" t="n">
        <v>49</v>
      </c>
      <c r="Q25" s="10" t="n">
        <v>59</v>
      </c>
      <c r="R25" s="10" t="n">
        <v>63.9</v>
      </c>
      <c r="S25" s="10" t="n">
        <v>58.4</v>
      </c>
      <c r="T25" s="10" t="n">
        <v>78.8</v>
      </c>
      <c r="U25" s="10" t="n">
        <v>116.6</v>
      </c>
      <c r="V25" s="10" t="n">
        <v>76.59999999999999</v>
      </c>
      <c r="W25" s="10" t="n">
        <v>57.7</v>
      </c>
      <c r="X25" s="10" t="n">
        <v>91.59999999999999</v>
      </c>
      <c r="Y25" s="10" t="n">
        <v>72.8</v>
      </c>
      <c r="Z25" s="2" t="n"/>
    </row>
    <row r="26">
      <c r="A26" s="2" t="inlineStr">
        <is>
          <t xml:space="preserve">  インド YoY %</t>
        </is>
      </c>
      <c r="B26" s="2" t="n"/>
      <c r="C26" s="2" t="n"/>
      <c r="D26" s="2" t="n"/>
      <c r="E26" s="2" t="n"/>
      <c r="F26" s="2" t="n"/>
      <c r="G26" s="2" t="n"/>
      <c r="H26" s="2" t="n"/>
      <c r="I26" s="2" t="n"/>
      <c r="J26" s="2" t="n"/>
      <c r="K26" s="2" t="n"/>
      <c r="L26" s="2" t="n"/>
      <c r="M26" s="2" t="n"/>
      <c r="N26" s="48">
        <f>IFERROR(N25/B25-1,"")</f>
        <v/>
      </c>
      <c r="O26" s="48">
        <f>IFERROR(O25/C25-1,"")</f>
        <v/>
      </c>
      <c r="P26" s="48">
        <f>IFERROR(P25/D25-1,"")</f>
        <v/>
      </c>
      <c r="Q26" s="48">
        <f>IFERROR(Q25/E25-1,"")</f>
        <v/>
      </c>
      <c r="R26" s="48">
        <f>IFERROR(R25/F25-1,"")</f>
        <v/>
      </c>
      <c r="S26" s="48">
        <f>IFERROR(S25/G25-1,"")</f>
        <v/>
      </c>
      <c r="T26" s="48">
        <f>IFERROR(T25/H25-1,"")</f>
        <v/>
      </c>
      <c r="U26" s="48">
        <f>IFERROR(U25/I25-1,"")</f>
        <v/>
      </c>
      <c r="V26" s="48">
        <f>IFERROR(V25/J25-1,"")</f>
        <v/>
      </c>
      <c r="W26" s="48">
        <f>IFERROR(W25/K25-1,"")</f>
        <v/>
      </c>
      <c r="X26" s="48">
        <f>IFERROR(X25/L25-1,"")</f>
        <v/>
      </c>
      <c r="Y26" s="48">
        <f>IFERROR(Y25/M25-1,"")</f>
        <v/>
      </c>
      <c r="Z26" s="48">
        <f>IFERROR(Z25/N25-1,"")</f>
        <v/>
      </c>
    </row>
    <row r="27">
      <c r="A27" s="3" t="inlineStr">
        <is>
          <t>JMTBA 台湾 (億)</t>
        </is>
      </c>
      <c r="B27" s="10" t="n">
        <v>11.3</v>
      </c>
      <c r="C27" s="10" t="n">
        <v>23.2</v>
      </c>
      <c r="D27" s="10" t="n">
        <v>16.8</v>
      </c>
      <c r="E27" s="10" t="n">
        <v>10.3</v>
      </c>
      <c r="F27" s="10" t="n">
        <v>16.4</v>
      </c>
      <c r="G27" s="10" t="n">
        <v>12.8</v>
      </c>
      <c r="H27" s="10" t="n">
        <v>16.8</v>
      </c>
      <c r="I27" s="10" t="n">
        <v>21.8</v>
      </c>
      <c r="J27" s="10" t="n">
        <v>18.2</v>
      </c>
      <c r="K27" s="10" t="n">
        <v>16.2</v>
      </c>
      <c r="L27" s="10" t="n">
        <v>12.7</v>
      </c>
      <c r="M27" s="10" t="n">
        <v>15.5</v>
      </c>
      <c r="N27" s="10" t="n">
        <v>11.2</v>
      </c>
      <c r="O27" s="10" t="n">
        <v>14.9</v>
      </c>
      <c r="P27" s="10" t="n">
        <v>21.4</v>
      </c>
      <c r="Q27" s="10" t="n">
        <v>18.1</v>
      </c>
      <c r="R27" s="10" t="n">
        <v>13.3</v>
      </c>
      <c r="S27" s="10" t="n">
        <v>33.6</v>
      </c>
      <c r="T27" s="10" t="n">
        <v>19</v>
      </c>
      <c r="U27" s="10" t="n">
        <v>22</v>
      </c>
      <c r="V27" s="10" t="n">
        <v>33.8</v>
      </c>
      <c r="W27" s="10" t="n">
        <v>49.4</v>
      </c>
      <c r="X27" s="10" t="n">
        <v>35.8</v>
      </c>
      <c r="Y27" s="10" t="n">
        <v>40.5</v>
      </c>
      <c r="Z27" s="2" t="n"/>
    </row>
    <row r="28">
      <c r="A28" s="2" t="inlineStr">
        <is>
          <t xml:space="preserve">  台湾 YoY %</t>
        </is>
      </c>
      <c r="B28" s="2" t="n"/>
      <c r="C28" s="2" t="n"/>
      <c r="D28" s="2" t="n"/>
      <c r="E28" s="2" t="n"/>
      <c r="F28" s="2" t="n"/>
      <c r="G28" s="2" t="n"/>
      <c r="H28" s="2" t="n"/>
      <c r="I28" s="2" t="n"/>
      <c r="J28" s="2" t="n"/>
      <c r="K28" s="2" t="n"/>
      <c r="L28" s="2" t="n"/>
      <c r="M28" s="2" t="n"/>
      <c r="N28" s="48">
        <f>IFERROR(N27/B27-1,"")</f>
        <v/>
      </c>
      <c r="O28" s="48">
        <f>IFERROR(O27/C27-1,"")</f>
        <v/>
      </c>
      <c r="P28" s="48">
        <f>IFERROR(P27/D27-1,"")</f>
        <v/>
      </c>
      <c r="Q28" s="48">
        <f>IFERROR(Q27/E27-1,"")</f>
        <v/>
      </c>
      <c r="R28" s="48">
        <f>IFERROR(R27/F27-1,"")</f>
        <v/>
      </c>
      <c r="S28" s="48">
        <f>IFERROR(S27/G27-1,"")</f>
        <v/>
      </c>
      <c r="T28" s="48">
        <f>IFERROR(T27/H27-1,"")</f>
        <v/>
      </c>
      <c r="U28" s="48">
        <f>IFERROR(U27/I27-1,"")</f>
        <v/>
      </c>
      <c r="V28" s="48">
        <f>IFERROR(V27/J27-1,"")</f>
        <v/>
      </c>
      <c r="W28" s="48">
        <f>IFERROR(W27/K27-1,"")</f>
        <v/>
      </c>
      <c r="X28" s="48">
        <f>IFERROR(X27/L27-1,"")</f>
        <v/>
      </c>
      <c r="Y28" s="48">
        <f>IFERROR(Y27/M27-1,"")</f>
        <v/>
      </c>
      <c r="Z28" s="48">
        <f>IFERROR(Z27/N27-1,"")</f>
        <v/>
      </c>
    </row>
    <row r="29">
      <c r="A29" s="3" t="inlineStr">
        <is>
          <t>JMTBA 韓国 (億)</t>
        </is>
      </c>
      <c r="B29" s="10" t="n">
        <v>38.3</v>
      </c>
      <c r="C29" s="10" t="n">
        <v>20.4</v>
      </c>
      <c r="D29" s="10" t="n">
        <v>28.4</v>
      </c>
      <c r="E29" s="10" t="n">
        <v>15.1</v>
      </c>
      <c r="F29" s="10" t="n">
        <v>24</v>
      </c>
      <c r="G29" s="10" t="n">
        <v>26.3</v>
      </c>
      <c r="H29" s="10" t="n">
        <v>30.4</v>
      </c>
      <c r="I29" s="10" t="n">
        <v>25.9</v>
      </c>
      <c r="J29" s="10" t="n">
        <v>32.4</v>
      </c>
      <c r="K29" s="10" t="n">
        <v>24</v>
      </c>
      <c r="L29" s="10" t="n">
        <v>19.4</v>
      </c>
      <c r="M29" s="10" t="n">
        <v>18.4</v>
      </c>
      <c r="N29" s="10" t="n">
        <v>20.9</v>
      </c>
      <c r="O29" s="10" t="n">
        <v>25.3</v>
      </c>
      <c r="P29" s="10" t="n">
        <v>43.1</v>
      </c>
      <c r="Q29" s="10" t="n">
        <v>28.4</v>
      </c>
      <c r="R29" s="10" t="n">
        <v>19.2</v>
      </c>
      <c r="S29" s="10" t="n">
        <v>28.4</v>
      </c>
      <c r="T29" s="10" t="n">
        <v>30</v>
      </c>
      <c r="U29" s="10" t="n">
        <v>26.6</v>
      </c>
      <c r="V29" s="10" t="n">
        <v>37.5</v>
      </c>
      <c r="W29" s="10" t="n">
        <v>19.8</v>
      </c>
      <c r="X29" s="10" t="n">
        <v>33.5</v>
      </c>
      <c r="Y29" s="10" t="n">
        <v>50</v>
      </c>
      <c r="Z29" s="2" t="n"/>
    </row>
    <row r="30">
      <c r="A30" s="2" t="inlineStr">
        <is>
          <t xml:space="preserve">  韓国 YoY %</t>
        </is>
      </c>
      <c r="B30" s="2" t="n"/>
      <c r="C30" s="2" t="n"/>
      <c r="D30" s="2" t="n"/>
      <c r="E30" s="2" t="n"/>
      <c r="F30" s="2" t="n"/>
      <c r="G30" s="2" t="n"/>
      <c r="H30" s="2" t="n"/>
      <c r="I30" s="2" t="n"/>
      <c r="J30" s="2" t="n"/>
      <c r="K30" s="2" t="n"/>
      <c r="L30" s="2" t="n"/>
      <c r="M30" s="2" t="n"/>
      <c r="N30" s="48">
        <f>IFERROR(N29/B29-1,"")</f>
        <v/>
      </c>
      <c r="O30" s="48">
        <f>IFERROR(O29/C29-1,"")</f>
        <v/>
      </c>
      <c r="P30" s="48">
        <f>IFERROR(P29/D29-1,"")</f>
        <v/>
      </c>
      <c r="Q30" s="48">
        <f>IFERROR(Q29/E29-1,"")</f>
        <v/>
      </c>
      <c r="R30" s="48">
        <f>IFERROR(R29/F29-1,"")</f>
        <v/>
      </c>
      <c r="S30" s="48">
        <f>IFERROR(S29/G29-1,"")</f>
        <v/>
      </c>
      <c r="T30" s="48">
        <f>IFERROR(T29/H29-1,"")</f>
        <v/>
      </c>
      <c r="U30" s="48">
        <f>IFERROR(U29/I29-1,"")</f>
        <v/>
      </c>
      <c r="V30" s="48">
        <f>IFERROR(V29/J29-1,"")</f>
        <v/>
      </c>
      <c r="W30" s="48">
        <f>IFERROR(W29/K29-1,"")</f>
        <v/>
      </c>
      <c r="X30" s="48">
        <f>IFERROR(X29/L29-1,"")</f>
        <v/>
      </c>
      <c r="Y30" s="48">
        <f>IFERROR(Y29/M29-1,"")</f>
        <v/>
      </c>
      <c r="Z30" s="48">
        <f>IFERROR(Z29/N29-1,"")</f>
        <v/>
      </c>
    </row>
    <row r="31">
      <c r="A31" s="3" t="inlineStr">
        <is>
          <t>JMTBA ドイツ (億)</t>
        </is>
      </c>
      <c r="B31" s="10" t="n">
        <v>25.3</v>
      </c>
      <c r="C31" s="10" t="n">
        <v>35.8</v>
      </c>
      <c r="D31" s="10" t="n">
        <v>26.1</v>
      </c>
      <c r="E31" s="10" t="n">
        <v>27.8</v>
      </c>
      <c r="F31" s="10" t="n">
        <v>29.1</v>
      </c>
      <c r="G31" s="10" t="n">
        <v>30.4</v>
      </c>
      <c r="H31" s="10" t="n">
        <v>37.9</v>
      </c>
      <c r="I31" s="10" t="n">
        <v>34.8</v>
      </c>
      <c r="J31" s="10" t="n">
        <v>33.8</v>
      </c>
      <c r="K31" s="10" t="n">
        <v>36.3</v>
      </c>
      <c r="L31" s="10" t="n">
        <v>35.5</v>
      </c>
      <c r="M31" s="10" t="n">
        <v>34.4</v>
      </c>
      <c r="N31" s="10" t="n">
        <v>27.2</v>
      </c>
      <c r="O31" s="10" t="n">
        <v>36</v>
      </c>
      <c r="P31" s="10" t="n">
        <v>43</v>
      </c>
      <c r="Q31" s="10" t="n">
        <v>41.6</v>
      </c>
      <c r="R31" s="10" t="n">
        <v>42.8</v>
      </c>
      <c r="S31" s="10" t="n">
        <v>38.1</v>
      </c>
      <c r="T31" s="10" t="n">
        <v>39.5</v>
      </c>
      <c r="U31" s="10" t="n">
        <v>42.9</v>
      </c>
      <c r="V31" s="10" t="n">
        <v>44.7</v>
      </c>
      <c r="W31" s="10" t="n">
        <v>32.2</v>
      </c>
      <c r="X31" s="10" t="n">
        <v>32.6</v>
      </c>
      <c r="Y31" s="10" t="n">
        <v>46.8</v>
      </c>
      <c r="Z31" s="2" t="n"/>
    </row>
    <row r="32">
      <c r="A32" s="2" t="inlineStr">
        <is>
          <t xml:space="preserve">  ドイツ YoY %</t>
        </is>
      </c>
      <c r="B32" s="2" t="n"/>
      <c r="C32" s="2" t="n"/>
      <c r="D32" s="2" t="n"/>
      <c r="E32" s="2" t="n"/>
      <c r="F32" s="2" t="n"/>
      <c r="G32" s="2" t="n"/>
      <c r="H32" s="2" t="n"/>
      <c r="I32" s="2" t="n"/>
      <c r="J32" s="2" t="n"/>
      <c r="K32" s="2" t="n"/>
      <c r="L32" s="2" t="n"/>
      <c r="M32" s="2" t="n"/>
      <c r="N32" s="48">
        <f>IFERROR(N31/B31-1,"")</f>
        <v/>
      </c>
      <c r="O32" s="48">
        <f>IFERROR(O31/C31-1,"")</f>
        <v/>
      </c>
      <c r="P32" s="48">
        <f>IFERROR(P31/D31-1,"")</f>
        <v/>
      </c>
      <c r="Q32" s="48">
        <f>IFERROR(Q31/E31-1,"")</f>
        <v/>
      </c>
      <c r="R32" s="48">
        <f>IFERROR(R31/F31-1,"")</f>
        <v/>
      </c>
      <c r="S32" s="48">
        <f>IFERROR(S31/G31-1,"")</f>
        <v/>
      </c>
      <c r="T32" s="48">
        <f>IFERROR(T31/H31-1,"")</f>
        <v/>
      </c>
      <c r="U32" s="48">
        <f>IFERROR(U31/I31-1,"")</f>
        <v/>
      </c>
      <c r="V32" s="48">
        <f>IFERROR(V31/J31-1,"")</f>
        <v/>
      </c>
      <c r="W32" s="48">
        <f>IFERROR(W31/K31-1,"")</f>
        <v/>
      </c>
      <c r="X32" s="48">
        <f>IFERROR(X31/L31-1,"")</f>
        <v/>
      </c>
      <c r="Y32" s="48">
        <f>IFERROR(Y31/M31-1,"")</f>
        <v/>
      </c>
      <c r="Z32" s="48">
        <f>IFERROR(Z31/N31-1,"")</f>
        <v/>
      </c>
    </row>
    <row r="33">
      <c r="A33" s="3" t="inlineStr">
        <is>
          <t>JMTBA うち自動車部品 (億)</t>
        </is>
      </c>
      <c r="B33" s="10" t="n">
        <v>50.9</v>
      </c>
      <c r="C33" s="10" t="n">
        <v>54.1</v>
      </c>
      <c r="D33" s="10" t="n">
        <v>44.9</v>
      </c>
      <c r="E33" s="10" t="n">
        <v>35.1</v>
      </c>
      <c r="F33" s="10" t="n">
        <v>52.6</v>
      </c>
      <c r="G33" s="10" t="n">
        <v>36.8</v>
      </c>
      <c r="H33" s="10" t="n">
        <v>53.6</v>
      </c>
      <c r="I33" s="10" t="n">
        <v>71.59999999999999</v>
      </c>
      <c r="J33" s="10" t="n">
        <v>32.6</v>
      </c>
      <c r="K33" s="10" t="n">
        <v>34.4</v>
      </c>
      <c r="L33" s="10" t="n">
        <v>43</v>
      </c>
      <c r="M33" s="10" t="n">
        <v>55.2</v>
      </c>
      <c r="N33" s="10" t="n">
        <v>45.6</v>
      </c>
      <c r="O33" s="10" t="n">
        <v>50.8</v>
      </c>
      <c r="P33" s="10" t="n">
        <v>43.4</v>
      </c>
      <c r="Q33" s="10" t="n">
        <v>42.5</v>
      </c>
      <c r="R33" s="10" t="n">
        <v>59.3</v>
      </c>
      <c r="S33" s="10" t="n">
        <v>40.4</v>
      </c>
      <c r="T33" s="10" t="n">
        <v>59.4</v>
      </c>
      <c r="U33" s="10" t="n">
        <v>61.8</v>
      </c>
      <c r="V33" s="10" t="n">
        <v>76.90000000000001</v>
      </c>
      <c r="W33" s="10" t="n">
        <v>55.9</v>
      </c>
      <c r="X33" s="10" t="n">
        <v>85.90000000000001</v>
      </c>
      <c r="Y33" s="10" t="n">
        <v>72.3</v>
      </c>
      <c r="Z33" s="2" t="n"/>
    </row>
    <row r="34">
      <c r="A34" s="2" t="inlineStr">
        <is>
          <t xml:space="preserve">  うち自動車部品 YoY %</t>
        </is>
      </c>
      <c r="B34" s="2" t="n"/>
      <c r="C34" s="2" t="n"/>
      <c r="D34" s="2" t="n"/>
      <c r="E34" s="2" t="n"/>
      <c r="F34" s="2" t="n"/>
      <c r="G34" s="2" t="n"/>
      <c r="H34" s="2" t="n"/>
      <c r="I34" s="2" t="n"/>
      <c r="J34" s="2" t="n"/>
      <c r="K34" s="2" t="n"/>
      <c r="L34" s="2" t="n"/>
      <c r="M34" s="2" t="n"/>
      <c r="N34" s="48">
        <f>IFERROR(N33/B33-1,"")</f>
        <v/>
      </c>
      <c r="O34" s="48">
        <f>IFERROR(O33/C33-1,"")</f>
        <v/>
      </c>
      <c r="P34" s="48">
        <f>IFERROR(P33/D33-1,"")</f>
        <v/>
      </c>
      <c r="Q34" s="48">
        <f>IFERROR(Q33/E33-1,"")</f>
        <v/>
      </c>
      <c r="R34" s="48">
        <f>IFERROR(R33/F33-1,"")</f>
        <v/>
      </c>
      <c r="S34" s="48">
        <f>IFERROR(S33/G33-1,"")</f>
        <v/>
      </c>
      <c r="T34" s="48">
        <f>IFERROR(T33/H33-1,"")</f>
        <v/>
      </c>
      <c r="U34" s="48">
        <f>IFERROR(U33/I33-1,"")</f>
        <v/>
      </c>
      <c r="V34" s="48">
        <f>IFERROR(V33/J33-1,"")</f>
        <v/>
      </c>
      <c r="W34" s="48">
        <f>IFERROR(W33/K33-1,"")</f>
        <v/>
      </c>
      <c r="X34" s="48">
        <f>IFERROR(X33/L33-1,"")</f>
        <v/>
      </c>
      <c r="Y34" s="48">
        <f>IFERROR(Y33/M33-1,"")</f>
        <v/>
      </c>
      <c r="Z34" s="48">
        <f>IFERROR(Z33/N33-1,"")</f>
        <v/>
      </c>
    </row>
    <row r="35">
      <c r="A35" s="3" t="inlineStr">
        <is>
          <t>JMTBA 電気・精密 計 (億)</t>
        </is>
      </c>
      <c r="B35" s="10" t="n">
        <v>26.1</v>
      </c>
      <c r="C35" s="10" t="n">
        <v>59.6</v>
      </c>
      <c r="D35" s="10" t="n">
        <v>42</v>
      </c>
      <c r="E35" s="10" t="n">
        <v>40.6</v>
      </c>
      <c r="F35" s="10" t="n">
        <v>48.5</v>
      </c>
      <c r="G35" s="10" t="n">
        <v>43.3</v>
      </c>
      <c r="H35" s="10" t="n">
        <v>32.4</v>
      </c>
      <c r="I35" s="10" t="n">
        <v>53.4</v>
      </c>
      <c r="J35" s="10" t="n">
        <v>48.3</v>
      </c>
      <c r="K35" s="10" t="n">
        <v>48.2</v>
      </c>
      <c r="L35" s="10" t="n">
        <v>58.6</v>
      </c>
      <c r="M35" s="10" t="n">
        <v>40.3</v>
      </c>
      <c r="N35" s="10" t="n">
        <v>33.3</v>
      </c>
      <c r="O35" s="10" t="n">
        <v>53.7</v>
      </c>
      <c r="P35" s="10" t="n">
        <v>39.6</v>
      </c>
      <c r="Q35" s="10" t="n">
        <v>34.9</v>
      </c>
      <c r="R35" s="10" t="n">
        <v>39.2</v>
      </c>
      <c r="S35" s="10" t="n">
        <v>52.2</v>
      </c>
      <c r="T35" s="10" t="n">
        <v>57.7</v>
      </c>
      <c r="U35" s="10" t="n">
        <v>73.8</v>
      </c>
      <c r="V35" s="10" t="n">
        <v>78</v>
      </c>
      <c r="W35" s="10" t="n">
        <v>51.3</v>
      </c>
      <c r="X35" s="10" t="n">
        <v>97.3</v>
      </c>
      <c r="Y35" s="10" t="n">
        <v>82.2</v>
      </c>
      <c r="Z35" s="2" t="n"/>
    </row>
    <row r="36">
      <c r="A36" s="2" t="inlineStr">
        <is>
          <t xml:space="preserve">  電気・精密 計 YoY %</t>
        </is>
      </c>
      <c r="B36" s="2" t="n"/>
      <c r="C36" s="2" t="n"/>
      <c r="D36" s="2" t="n"/>
      <c r="E36" s="2" t="n"/>
      <c r="F36" s="2" t="n"/>
      <c r="G36" s="2" t="n"/>
      <c r="H36" s="2" t="n"/>
      <c r="I36" s="2" t="n"/>
      <c r="J36" s="2" t="n"/>
      <c r="K36" s="2" t="n"/>
      <c r="L36" s="2" t="n"/>
      <c r="M36" s="2" t="n"/>
      <c r="N36" s="48">
        <f>IFERROR(N35/B35-1,"")</f>
        <v/>
      </c>
      <c r="O36" s="48">
        <f>IFERROR(O35/C35-1,"")</f>
        <v/>
      </c>
      <c r="P36" s="48">
        <f>IFERROR(P35/D35-1,"")</f>
        <v/>
      </c>
      <c r="Q36" s="48">
        <f>IFERROR(Q35/E35-1,"")</f>
        <v/>
      </c>
      <c r="R36" s="48">
        <f>IFERROR(R35/F35-1,"")</f>
        <v/>
      </c>
      <c r="S36" s="48">
        <f>IFERROR(S35/G35-1,"")</f>
        <v/>
      </c>
      <c r="T36" s="48">
        <f>IFERROR(T35/H35-1,"")</f>
        <v/>
      </c>
      <c r="U36" s="48">
        <f>IFERROR(U35/I35-1,"")</f>
        <v/>
      </c>
      <c r="V36" s="48">
        <f>IFERROR(V35/J35-1,"")</f>
        <v/>
      </c>
      <c r="W36" s="48">
        <f>IFERROR(W35/K35-1,"")</f>
        <v/>
      </c>
      <c r="X36" s="48">
        <f>IFERROR(X35/L35-1,"")</f>
        <v/>
      </c>
      <c r="Y36" s="48">
        <f>IFERROR(Y35/M35-1,"")</f>
        <v/>
      </c>
      <c r="Z36" s="48">
        <f>IFERROR(Z35/N35-1,"")</f>
        <v/>
      </c>
    </row>
    <row r="37">
      <c r="A37" s="2" t="n"/>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row>
    <row r="38">
      <c r="A38" s="3" t="inlineStr">
        <is>
          <t>MOF Robot Exp HS 8479 (億)</t>
        </is>
      </c>
      <c r="B38" s="10" t="n">
        <v>819.7</v>
      </c>
      <c r="C38" s="10" t="n">
        <v>831.6</v>
      </c>
      <c r="D38" s="10" t="n">
        <v>852.8</v>
      </c>
      <c r="E38" s="10" t="n">
        <v>781.9</v>
      </c>
      <c r="F38" s="10" t="n">
        <v>988.7</v>
      </c>
      <c r="G38" s="10" t="n">
        <v>666.6</v>
      </c>
      <c r="H38" s="10" t="n">
        <v>877</v>
      </c>
      <c r="I38" s="10" t="n">
        <v>969.1</v>
      </c>
      <c r="J38" s="10" t="n">
        <v>824.4</v>
      </c>
      <c r="K38" s="10" t="n">
        <v>874.8</v>
      </c>
      <c r="L38" s="10" t="n">
        <v>893.6</v>
      </c>
      <c r="M38" s="10" t="n">
        <v>975.8</v>
      </c>
      <c r="N38" s="10" t="n">
        <v>803.5</v>
      </c>
      <c r="O38" s="10" t="n">
        <v>843.7</v>
      </c>
      <c r="P38" s="10" t="n">
        <v>959.1</v>
      </c>
      <c r="Q38" s="10" t="n">
        <v>898.4</v>
      </c>
      <c r="R38" s="10" t="n">
        <v>1061.1</v>
      </c>
      <c r="S38" s="10" t="n">
        <v>849.7</v>
      </c>
      <c r="T38" s="10" t="n">
        <v>849.4</v>
      </c>
      <c r="U38" s="10" t="n">
        <v>1089.9</v>
      </c>
      <c r="V38" s="10" t="n">
        <v>1055.3</v>
      </c>
      <c r="W38" s="10" t="n">
        <v>983.6</v>
      </c>
      <c r="X38" s="10" t="n">
        <v>1015.5</v>
      </c>
      <c r="Y38" s="10" t="n">
        <v>1160.1</v>
      </c>
      <c r="Z38" s="2" t="n"/>
    </row>
    <row r="39">
      <c r="A39" s="2" t="inlineStr">
        <is>
          <t xml:space="preserve">  MOF Robot Exp HS 8479 YoY %</t>
        </is>
      </c>
      <c r="B39" s="2" t="n"/>
      <c r="C39" s="2" t="n"/>
      <c r="D39" s="2" t="n"/>
      <c r="E39" s="2" t="n"/>
      <c r="F39" s="2" t="n"/>
      <c r="G39" s="2" t="n"/>
      <c r="H39" s="2" t="n"/>
      <c r="I39" s="2" t="n"/>
      <c r="J39" s="2" t="n"/>
      <c r="K39" s="2" t="n"/>
      <c r="L39" s="2" t="n"/>
      <c r="M39" s="2" t="n"/>
      <c r="N39" s="48">
        <f>IFERROR(N38/B38-1,"")</f>
        <v/>
      </c>
      <c r="O39" s="48">
        <f>IFERROR(O38/C38-1,"")</f>
        <v/>
      </c>
      <c r="P39" s="48">
        <f>IFERROR(P38/D38-1,"")</f>
        <v/>
      </c>
      <c r="Q39" s="48">
        <f>IFERROR(Q38/E38-1,"")</f>
        <v/>
      </c>
      <c r="R39" s="48">
        <f>IFERROR(R38/F38-1,"")</f>
        <v/>
      </c>
      <c r="S39" s="48">
        <f>IFERROR(S38/G38-1,"")</f>
        <v/>
      </c>
      <c r="T39" s="48">
        <f>IFERROR(T38/H38-1,"")</f>
        <v/>
      </c>
      <c r="U39" s="48">
        <f>IFERROR(U38/I38-1,"")</f>
        <v/>
      </c>
      <c r="V39" s="48">
        <f>IFERROR(V38/J38-1,"")</f>
        <v/>
      </c>
      <c r="W39" s="48">
        <f>IFERROR(W38/K38-1,"")</f>
        <v/>
      </c>
      <c r="X39" s="48">
        <f>IFERROR(X38/L38-1,"")</f>
        <v/>
      </c>
      <c r="Y39" s="48">
        <f>IFERROR(Y38/M38-1,"")</f>
        <v/>
      </c>
      <c r="Z39" s="48">
        <f>IFERROR(Z38/N38-1,"")</f>
        <v/>
      </c>
    </row>
    <row r="40">
      <c r="A40" s="3" t="inlineStr">
        <is>
          <t>MOF Semi-Eq Exp HS 8486 (億)</t>
        </is>
      </c>
      <c r="B40" s="10" t="n">
        <v>3429.3</v>
      </c>
      <c r="C40" s="10" t="n">
        <v>3970.3</v>
      </c>
      <c r="D40" s="10" t="n">
        <v>4076</v>
      </c>
      <c r="E40" s="10" t="n">
        <v>3743.4</v>
      </c>
      <c r="F40" s="10" t="n">
        <v>4502.6</v>
      </c>
      <c r="G40" s="10" t="n">
        <v>2879</v>
      </c>
      <c r="H40" s="10" t="n">
        <v>3962.5</v>
      </c>
      <c r="I40" s="10" t="n">
        <v>4984.1</v>
      </c>
      <c r="J40" s="10" t="n">
        <v>3735.3</v>
      </c>
      <c r="K40" s="10" t="n">
        <v>3319.8</v>
      </c>
      <c r="L40" s="10" t="n">
        <v>3877.8</v>
      </c>
      <c r="M40" s="10" t="n">
        <v>3509.4</v>
      </c>
      <c r="N40" s="10" t="n">
        <v>3494.9</v>
      </c>
      <c r="O40" s="10" t="n">
        <v>3844</v>
      </c>
      <c r="P40" s="10" t="n">
        <v>3635.4</v>
      </c>
      <c r="Q40" s="10" t="n">
        <v>3792.2</v>
      </c>
      <c r="R40" s="10" t="n">
        <v>4436.8</v>
      </c>
      <c r="S40" s="10" t="n">
        <v>3156.7</v>
      </c>
      <c r="T40" s="10" t="n">
        <v>3290.9</v>
      </c>
      <c r="U40" s="10" t="n">
        <v>5259</v>
      </c>
      <c r="V40" s="10" t="n">
        <v>3932.1</v>
      </c>
      <c r="W40" s="10" t="n">
        <v>3654.5</v>
      </c>
      <c r="X40" s="10" t="n">
        <v>4601.4</v>
      </c>
      <c r="Y40" s="10" t="n">
        <v>4939.5</v>
      </c>
      <c r="Z40" s="2" t="n"/>
    </row>
    <row r="41">
      <c r="A41" s="2" t="inlineStr">
        <is>
          <t xml:space="preserve">  MOF Semi-Eq Exp HS 8486 YoY %</t>
        </is>
      </c>
      <c r="B41" s="2" t="n"/>
      <c r="C41" s="2" t="n"/>
      <c r="D41" s="2" t="n"/>
      <c r="E41" s="2" t="n"/>
      <c r="F41" s="2" t="n"/>
      <c r="G41" s="2" t="n"/>
      <c r="H41" s="2" t="n"/>
      <c r="I41" s="2" t="n"/>
      <c r="J41" s="2" t="n"/>
      <c r="K41" s="2" t="n"/>
      <c r="L41" s="2" t="n"/>
      <c r="M41" s="2" t="n"/>
      <c r="N41" s="48">
        <f>IFERROR(N40/B40-1,"")</f>
        <v/>
      </c>
      <c r="O41" s="48">
        <f>IFERROR(O40/C40-1,"")</f>
        <v/>
      </c>
      <c r="P41" s="48">
        <f>IFERROR(P40/D40-1,"")</f>
        <v/>
      </c>
      <c r="Q41" s="48">
        <f>IFERROR(Q40/E40-1,"")</f>
        <v/>
      </c>
      <c r="R41" s="48">
        <f>IFERROR(R40/F40-1,"")</f>
        <v/>
      </c>
      <c r="S41" s="48">
        <f>IFERROR(S40/G40-1,"")</f>
        <v/>
      </c>
      <c r="T41" s="48">
        <f>IFERROR(T40/H40-1,"")</f>
        <v/>
      </c>
      <c r="U41" s="48">
        <f>IFERROR(U40/I40-1,"")</f>
        <v/>
      </c>
      <c r="V41" s="48">
        <f>IFERROR(V40/J40-1,"")</f>
        <v/>
      </c>
      <c r="W41" s="48">
        <f>IFERROR(W40/K40-1,"")</f>
        <v/>
      </c>
      <c r="X41" s="48">
        <f>IFERROR(X40/L40-1,"")</f>
        <v/>
      </c>
      <c r="Y41" s="48">
        <f>IFERROR(Y40/M40-1,"")</f>
        <v/>
      </c>
      <c r="Z41" s="48">
        <f>IFERROR(Z40/N40-1,"")</f>
        <v/>
      </c>
    </row>
    <row r="42">
      <c r="A42" s="3" t="inlineStr">
        <is>
          <t>MOF CNC Tool Exp HS 8459 (億)</t>
        </is>
      </c>
      <c r="B42" s="10" t="n">
        <v>12.3</v>
      </c>
      <c r="C42" s="10" t="n">
        <v>13.4</v>
      </c>
      <c r="D42" s="10" t="n">
        <v>7.1</v>
      </c>
      <c r="E42" s="10" t="n">
        <v>15.9</v>
      </c>
      <c r="F42" s="10" t="n">
        <v>15.3</v>
      </c>
      <c r="G42" s="10" t="n">
        <v>8.800000000000001</v>
      </c>
      <c r="H42" s="10" t="n">
        <v>18.3</v>
      </c>
      <c r="I42" s="10" t="n">
        <v>13.6</v>
      </c>
      <c r="J42" s="10" t="n">
        <v>9.9</v>
      </c>
      <c r="K42" s="10" t="n">
        <v>5.1</v>
      </c>
      <c r="L42" s="10" t="n">
        <v>11.3</v>
      </c>
      <c r="M42" s="10" t="n">
        <v>20.8</v>
      </c>
      <c r="N42" s="10" t="n">
        <v>10.4</v>
      </c>
      <c r="O42" s="10" t="n">
        <v>11.6</v>
      </c>
      <c r="P42" s="10" t="n">
        <v>7.2</v>
      </c>
      <c r="Q42" s="10" t="n">
        <v>4.6</v>
      </c>
      <c r="R42" s="10" t="n">
        <v>14.1</v>
      </c>
      <c r="S42" s="10" t="n">
        <v>5.5</v>
      </c>
      <c r="T42" s="10" t="n">
        <v>8.9</v>
      </c>
      <c r="U42" s="10" t="n">
        <v>11.4</v>
      </c>
      <c r="V42" s="10" t="n">
        <v>13.3</v>
      </c>
      <c r="W42" s="10" t="n">
        <v>9.699999999999999</v>
      </c>
      <c r="X42" s="10" t="n">
        <v>9.5</v>
      </c>
      <c r="Y42" s="10" t="n">
        <v>7.2</v>
      </c>
      <c r="Z42" s="2" t="n"/>
    </row>
    <row r="43">
      <c r="A43" s="2" t="inlineStr">
        <is>
          <t xml:space="preserve">  MOF CNC Tool Exp HS 8459 YoY %</t>
        </is>
      </c>
      <c r="B43" s="2" t="n"/>
      <c r="C43" s="2" t="n"/>
      <c r="D43" s="2" t="n"/>
      <c r="E43" s="2" t="n"/>
      <c r="F43" s="2" t="n"/>
      <c r="G43" s="2" t="n"/>
      <c r="H43" s="2" t="n"/>
      <c r="I43" s="2" t="n"/>
      <c r="J43" s="2" t="n"/>
      <c r="K43" s="2" t="n"/>
      <c r="L43" s="2" t="n"/>
      <c r="M43" s="2" t="n"/>
      <c r="N43" s="48">
        <f>IFERROR(N42/B42-1,"")</f>
        <v/>
      </c>
      <c r="O43" s="48">
        <f>IFERROR(O42/C42-1,"")</f>
        <v/>
      </c>
      <c r="P43" s="48">
        <f>IFERROR(P42/D42-1,"")</f>
        <v/>
      </c>
      <c r="Q43" s="48">
        <f>IFERROR(Q42/E42-1,"")</f>
        <v/>
      </c>
      <c r="R43" s="48">
        <f>IFERROR(R42/F42-1,"")</f>
        <v/>
      </c>
      <c r="S43" s="48">
        <f>IFERROR(S42/G42-1,"")</f>
        <v/>
      </c>
      <c r="T43" s="48">
        <f>IFERROR(T42/H42-1,"")</f>
        <v/>
      </c>
      <c r="U43" s="48">
        <f>IFERROR(U42/I42-1,"")</f>
        <v/>
      </c>
      <c r="V43" s="48">
        <f>IFERROR(V42/J42-1,"")</f>
        <v/>
      </c>
      <c r="W43" s="48">
        <f>IFERROR(W42/K42-1,"")</f>
        <v/>
      </c>
      <c r="X43" s="48">
        <f>IFERROR(X42/L42-1,"")</f>
        <v/>
      </c>
      <c r="Y43" s="48">
        <f>IFERROR(Y42/M42-1,"")</f>
        <v/>
      </c>
      <c r="Z43" s="48">
        <f>IFERROR(Z42/N42-1,"")</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10"/>
  <sheetViews>
    <sheetView workbookViewId="0">
      <selection activeCell="A1" sqref="A1"/>
    </sheetView>
  </sheetViews>
  <sheetFormatPr baseColWidth="8" defaultRowHeight="15"/>
  <cols>
    <col width="7" customWidth="1" min="1" max="1"/>
    <col width="16" customWidth="1" min="2" max="2"/>
    <col width="28" customWidth="1" min="3" max="3"/>
    <col width="9" customWidth="1" min="4" max="4"/>
    <col width="11" customWidth="1" min="5" max="5"/>
    <col width="9" customWidth="1" min="6" max="6"/>
    <col width="8" customWidth="1" min="7" max="7"/>
    <col width="8" customWidth="1" min="8" max="8"/>
    <col width="10" customWidth="1" min="9" max="9"/>
    <col width="10" customWidth="1" min="10" max="10"/>
    <col width="15" customWidth="1" min="11" max="11"/>
    <col width="8" customWidth="1" min="12" max="12"/>
    <col width="8" customWidth="1" min="13" max="13"/>
    <col width="9" customWidth="1" min="14" max="14"/>
    <col width="11" customWidth="1" min="15" max="15"/>
  </cols>
  <sheetData>
    <row r="1">
      <c r="A1" s="84" t="inlineStr">
        <is>
          <t>Peer Comparables for Sumitomo Rubber Industries (51100) — common multiples</t>
        </is>
      </c>
      <c r="B1" s="2" t="n"/>
      <c r="C1" s="2" t="n"/>
      <c r="D1" s="2" t="n"/>
      <c r="E1" s="2" t="n"/>
      <c r="F1" s="2" t="n"/>
      <c r="G1" s="2" t="n"/>
      <c r="H1" s="2" t="n"/>
      <c r="I1" s="2" t="n"/>
      <c r="J1" s="2" t="n"/>
      <c r="K1" s="2" t="n"/>
      <c r="L1" s="2" t="n"/>
      <c r="M1" s="2" t="n"/>
      <c r="N1" s="2" t="n"/>
      <c r="O1" s="2" t="n"/>
    </row>
    <row r="2">
      <c r="A2" s="35" t="inlineStr">
        <is>
          <t>Source: J-Quants daily_bars × fins_summary FY (split-adjusted BPS). P/E(fwd) = Nikkei QUICK consensus for the CURRENT FY — near a company's FY-end that is nearly trailing.</t>
        </is>
      </c>
      <c r="B2" s="2" t="n"/>
      <c r="C2" s="2" t="n"/>
      <c r="D2" s="2" t="n"/>
      <c r="E2" s="2" t="n"/>
      <c r="F2" s="2" t="n"/>
      <c r="G2" s="2" t="n"/>
      <c r="H2" s="2" t="n"/>
      <c r="I2" s="2" t="n"/>
      <c r="J2" s="2" t="n"/>
      <c r="K2" s="2" t="n"/>
      <c r="L2" s="2" t="n"/>
      <c r="M2" s="2" t="n"/>
      <c r="N2" s="2" t="n"/>
      <c r="O2" s="2" t="n"/>
    </row>
    <row r="3">
      <c r="A3" s="2" t="n"/>
      <c r="B3" s="2" t="n"/>
      <c r="C3" s="2" t="n"/>
      <c r="D3" s="2" t="n"/>
      <c r="E3" s="2" t="n"/>
      <c r="F3" s="2" t="n"/>
      <c r="G3" s="2" t="n"/>
      <c r="H3" s="2" t="n"/>
      <c r="I3" s="2" t="n"/>
      <c r="J3" s="2" t="n"/>
      <c r="K3" s="2" t="n"/>
      <c r="L3" s="2" t="n"/>
      <c r="M3" s="2" t="n"/>
      <c r="N3" s="2" t="n"/>
      <c r="O3" s="2" t="n"/>
    </row>
    <row r="4">
      <c r="A4" s="37" t="inlineStr">
        <is>
          <t>Code</t>
        </is>
      </c>
      <c r="B4" s="37" t="inlineStr">
        <is>
          <t>Name</t>
        </is>
      </c>
      <c r="C4" s="37" t="inlineStr">
        <is>
          <t>Period</t>
        </is>
      </c>
      <c r="D4" s="37" t="inlineStr">
        <is>
          <t>Price</t>
        </is>
      </c>
      <c r="E4" s="37" t="inlineStr">
        <is>
          <t>MCap (億)</t>
        </is>
      </c>
      <c r="F4" s="37" t="inlineStr">
        <is>
          <t>Sales</t>
        </is>
      </c>
      <c r="G4" s="37" t="inlineStr">
        <is>
          <t>OP</t>
        </is>
      </c>
      <c r="H4" s="37" t="inlineStr">
        <is>
          <t>NP</t>
        </is>
      </c>
      <c r="I4" s="37" t="inlineStr">
        <is>
          <t>EPS</t>
        </is>
      </c>
      <c r="J4" s="37" t="inlineStr">
        <is>
          <t>BPS</t>
        </is>
      </c>
      <c r="K4" s="37" t="inlineStr">
        <is>
          <t>P/E (fwd)</t>
        </is>
      </c>
      <c r="L4" s="37" t="inlineStr">
        <is>
          <t>P/B</t>
        </is>
      </c>
      <c r="M4" s="37" t="inlineStr">
        <is>
          <t>OPM %</t>
        </is>
      </c>
      <c r="N4" s="37" t="inlineStr">
        <is>
          <t>ROE %</t>
        </is>
      </c>
      <c r="O4" s="37" t="inlineStr">
        <is>
          <t>Sales YoY %</t>
        </is>
      </c>
    </row>
    <row r="5">
      <c r="A5" s="85" t="inlineStr">
        <is>
          <t>51100</t>
        </is>
      </c>
      <c r="B5" s="85" t="inlineStr">
        <is>
          <t>住友ゴム工業</t>
        </is>
      </c>
      <c r="C5" s="85" t="inlineStr">
        <is>
          <t>Consensus 2026/12連I予 (n=9)</t>
        </is>
      </c>
      <c r="D5" s="86" t="n">
        <v>2020</v>
      </c>
      <c r="E5" s="86" t="n">
        <v>5311</v>
      </c>
      <c r="F5" s="86" t="n">
        <v>12950</v>
      </c>
      <c r="G5" s="86" t="n">
        <v>901</v>
      </c>
      <c r="H5" s="86" t="n">
        <v>576</v>
      </c>
      <c r="I5" s="87" t="n">
        <v>219.22</v>
      </c>
      <c r="J5" s="87" t="n">
        <v>2724.4</v>
      </c>
      <c r="K5" s="88" t="n">
        <v>9.199999999999999</v>
      </c>
      <c r="L5" s="88" t="n">
        <v>0.74</v>
      </c>
      <c r="M5" s="89" t="n">
        <v>7</v>
      </c>
      <c r="N5" s="89" t="n">
        <v>7.8</v>
      </c>
      <c r="O5" s="89" t="n">
        <v>7.3</v>
      </c>
    </row>
    <row r="6">
      <c r="A6" s="2" t="inlineStr">
        <is>
          <t>51080</t>
        </is>
      </c>
      <c r="B6" s="2" t="inlineStr">
        <is>
          <t>ブリヂストン</t>
        </is>
      </c>
      <c r="C6" s="2" t="inlineStr">
        <is>
          <t>Consensus 2026/12連I予 (n=11)</t>
        </is>
      </c>
      <c r="D6" s="15" t="n">
        <v>3832</v>
      </c>
      <c r="E6" s="15" t="n">
        <v>50978</v>
      </c>
      <c r="F6" s="15" t="n">
        <v>46726</v>
      </c>
      <c r="G6" s="15" t="n">
        <v>5128</v>
      </c>
      <c r="H6" s="15" t="n">
        <v>3557</v>
      </c>
      <c r="I6" s="13" t="n">
        <v>288.22</v>
      </c>
      <c r="J6" s="13" t="n">
        <v>2868.5</v>
      </c>
      <c r="K6" s="17" t="n">
        <v>13.3</v>
      </c>
      <c r="L6" s="17" t="n">
        <v>1.34</v>
      </c>
      <c r="M6" s="33" t="n">
        <v>11</v>
      </c>
      <c r="N6" s="33" t="n">
        <v>9.6</v>
      </c>
      <c r="O6" s="33" t="n">
        <v>5.5</v>
      </c>
    </row>
    <row r="7">
      <c r="A7" s="2" t="inlineStr">
        <is>
          <t>51010</t>
        </is>
      </c>
      <c r="B7" s="2" t="inlineStr">
        <is>
          <t>横浜ゴム</t>
        </is>
      </c>
      <c r="C7" s="2" t="inlineStr">
        <is>
          <t>Consensus 2026/12連I予 (n=8)</t>
        </is>
      </c>
      <c r="D7" s="15" t="n">
        <v>6827</v>
      </c>
      <c r="E7" s="15" t="n">
        <v>10763</v>
      </c>
      <c r="F7" s="15" t="n">
        <v>13410</v>
      </c>
      <c r="G7" s="15" t="n">
        <v>2106</v>
      </c>
      <c r="H7" s="15" t="n">
        <v>1334</v>
      </c>
      <c r="I7" s="13" t="n">
        <v>845.96</v>
      </c>
      <c r="J7" s="13" t="n">
        <v>6536.7</v>
      </c>
      <c r="K7" s="17" t="n">
        <v>8.1</v>
      </c>
      <c r="L7" s="17" t="n">
        <v>1.04</v>
      </c>
      <c r="M7" s="33" t="n">
        <v>15.7</v>
      </c>
      <c r="N7" s="33" t="n">
        <v>12.8</v>
      </c>
      <c r="O7" s="33" t="n">
        <v>8.6</v>
      </c>
    </row>
    <row r="8">
      <c r="A8" s="2" t="inlineStr">
        <is>
          <t>51050</t>
        </is>
      </c>
      <c r="B8" s="2" t="inlineStr">
        <is>
          <t>ＴＯＹＯ　ＴＩＲＥ</t>
        </is>
      </c>
      <c r="C8" s="2" t="inlineStr">
        <is>
          <t>Consensus 2026/12連予 (n=8)</t>
        </is>
      </c>
      <c r="D8" s="15" t="n">
        <v>3900</v>
      </c>
      <c r="E8" s="15" t="n">
        <v>6006</v>
      </c>
      <c r="F8" s="15" t="n">
        <v>6273</v>
      </c>
      <c r="G8" s="15" t="n">
        <v>917</v>
      </c>
      <c r="H8" s="15" t="n">
        <v>655</v>
      </c>
      <c r="I8" s="13" t="n">
        <v>531.6</v>
      </c>
      <c r="J8" s="13" t="n">
        <v>3394</v>
      </c>
      <c r="K8" s="17" t="n">
        <v>7.3</v>
      </c>
      <c r="L8" s="17" t="n">
        <v>1.15</v>
      </c>
      <c r="M8" s="33" t="n">
        <v>14.6</v>
      </c>
      <c r="N8" s="33" t="n">
        <v>12.5</v>
      </c>
      <c r="O8" s="33" t="n">
        <v>5.4</v>
      </c>
    </row>
    <row r="9">
      <c r="A9" s="2" t="n"/>
      <c r="B9" s="2" t="n"/>
      <c r="C9" s="2" t="n"/>
      <c r="D9" s="2" t="n"/>
      <c r="E9" s="2" t="n"/>
      <c r="F9" s="2" t="n"/>
      <c r="G9" s="2" t="n"/>
      <c r="H9" s="2" t="n"/>
      <c r="I9" s="2" t="n"/>
      <c r="J9" s="2" t="n"/>
      <c r="K9" s="2" t="n"/>
      <c r="L9" s="2" t="n"/>
      <c r="M9" s="2" t="n"/>
      <c r="N9" s="2" t="n"/>
      <c r="O9" s="2" t="n"/>
    </row>
    <row r="10">
      <c r="A10" s="3" t="inlineStr">
        <is>
          <t>MEDIAN (peers)</t>
        </is>
      </c>
      <c r="B10" s="2" t="n"/>
      <c r="C10" s="2" t="n"/>
      <c r="D10" s="2" t="n"/>
      <c r="E10" s="2" t="n"/>
      <c r="F10" s="2" t="n"/>
      <c r="G10" s="2" t="n"/>
      <c r="H10" s="2" t="n"/>
      <c r="I10" s="2" t="n"/>
      <c r="J10" s="2" t="n"/>
      <c r="K10" s="90" t="n">
        <v>8.1</v>
      </c>
      <c r="L10" s="90" t="n">
        <v>1.15</v>
      </c>
      <c r="M10" s="91" t="n">
        <v>14.6</v>
      </c>
      <c r="N10" s="91" t="n">
        <v>12.5</v>
      </c>
      <c r="O10" s="91" t="n">
        <v>5.5</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RowHeight="15"/>
  <cols>
    <col width="22" customWidth="1" min="1" max="1"/>
    <col width="13" customWidth="1" min="2" max="2"/>
    <col width="14" customWidth="1" min="3" max="3"/>
    <col width="14" customWidth="1" min="4" max="4"/>
    <col width="12" customWidth="1" min="5" max="5"/>
  </cols>
  <sheetData>
    <row r="1">
      <c r="A1" s="84" t="inlineStr">
        <is>
          <t>Sumitomo Rubber Industries (51100) — Model Summary  [BLUE=input, BLACK=formula, GREEN=cross-sheet, YELLOW=key tunable]</t>
        </is>
      </c>
      <c r="B1" s="2" t="n"/>
      <c r="C1" s="2" t="n"/>
      <c r="D1" s="2" t="n"/>
      <c r="E1" s="2" t="n"/>
      <c r="F1" s="2" t="n"/>
    </row>
    <row r="2">
      <c r="A2" s="2" t="n"/>
      <c r="B2" s="2" t="n"/>
      <c r="C2" s="2" t="n"/>
      <c r="D2" s="2" t="n"/>
      <c r="E2" s="2" t="n"/>
      <c r="F2" s="2" t="n"/>
    </row>
    <row r="3">
      <c r="A3" s="6" t="inlineStr">
        <is>
          <t>Metric</t>
        </is>
      </c>
      <c r="B3" s="6" t="inlineStr">
        <is>
          <t>Hist FY25</t>
        </is>
      </c>
      <c r="C3" s="6" t="inlineStr">
        <is>
          <t>Model FY26E</t>
        </is>
      </c>
      <c r="D3" s="6" t="inlineStr">
        <is>
          <t>Model FY27E</t>
        </is>
      </c>
      <c r="E3" s="6" t="inlineStr">
        <is>
          <t>Company Guide</t>
        </is>
      </c>
      <c r="F3" s="6" t="inlineStr">
        <is>
          <t>vs Guide %</t>
        </is>
      </c>
    </row>
    <row r="4">
      <c r="A4" s="3" t="inlineStr">
        <is>
          <t>Sales (億)</t>
        </is>
      </c>
      <c r="B4" s="11">
        <f>FS!D4+FS!E4+FS!F4+FS!G4</f>
        <v/>
      </c>
      <c r="C4" s="11">
        <f>FS!H4+FS!I4+FS!J4+FS!K4</f>
        <v/>
      </c>
      <c r="D4" s="11">
        <f>FS!L4+FS!M4+FS!N4+FS!O4</f>
        <v/>
      </c>
      <c r="E4" s="92" t="n">
        <v>13300</v>
      </c>
      <c r="F4" s="48">
        <f>C4/E4-1</f>
        <v/>
      </c>
    </row>
    <row r="5">
      <c r="A5" s="3" t="inlineStr">
        <is>
          <t>OP (億)</t>
        </is>
      </c>
      <c r="B5" s="11">
        <f>FS!D9+FS!E9+FS!F9+FS!G9</f>
        <v/>
      </c>
      <c r="C5" s="11">
        <f>FS!H9+FS!I9+FS!J9+FS!K9</f>
        <v/>
      </c>
      <c r="D5" s="11">
        <f>FS!L9+FS!M9+FS!N9+FS!O9</f>
        <v/>
      </c>
      <c r="E5" s="92" t="n">
        <v>890</v>
      </c>
      <c r="F5" s="48">
        <f>C5/E5-1</f>
        <v/>
      </c>
    </row>
    <row r="6">
      <c r="A6" s="3" t="inlineStr">
        <is>
          <t>OPM %</t>
        </is>
      </c>
      <c r="B6" s="12">
        <f>B5/B4*100</f>
        <v/>
      </c>
      <c r="C6" s="12">
        <f>C5/C4*100</f>
        <v/>
      </c>
      <c r="D6" s="12">
        <f>D5/D4*100</f>
        <v/>
      </c>
      <c r="E6" s="93" t="n">
        <v>6.69</v>
      </c>
      <c r="F6" s="48">
        <f>C6/E6-1</f>
        <v/>
      </c>
    </row>
    <row r="7">
      <c r="A7" s="3" t="inlineStr">
        <is>
          <t>NP (億)</t>
        </is>
      </c>
      <c r="B7" s="11">
        <f>FS!D18+FS!E18+FS!F18+FS!G18</f>
        <v/>
      </c>
      <c r="C7" s="11">
        <f>FS!H18+FS!I18+FS!J18+FS!K18</f>
        <v/>
      </c>
      <c r="D7" s="11">
        <f>FS!L18+FS!M18+FS!N18+FS!O18</f>
        <v/>
      </c>
      <c r="E7" s="92" t="n">
        <v>550</v>
      </c>
      <c r="F7" s="48">
        <f>C7/E7-1</f>
        <v/>
      </c>
    </row>
    <row r="8">
      <c r="A8" s="3" t="inlineStr">
        <is>
          <t>EPS (¥)</t>
        </is>
      </c>
      <c r="B8" s="78">
        <f>FS!D22+FS!E22+FS!F22+FS!G22</f>
        <v/>
      </c>
      <c r="C8" s="78">
        <f>FS!H22+FS!I22+FS!J22+FS!K22</f>
        <v/>
      </c>
      <c r="D8" s="78">
        <f>FS!L22+FS!M22+FS!N22+FS!O22</f>
        <v/>
      </c>
      <c r="E8" s="94" t="n">
        <v>209.25</v>
      </c>
      <c r="F8" s="48">
        <f>C8/E8-1</f>
        <v/>
      </c>
    </row>
    <row r="9">
      <c r="A9" s="2" t="n"/>
      <c r="B9" s="2" t="n"/>
      <c r="C9" s="2" t="n"/>
      <c r="D9" s="2" t="n"/>
      <c r="E9" s="2" t="n"/>
      <c r="F9" s="2" t="n"/>
    </row>
    <row r="10">
      <c r="A10" s="2" t="n"/>
      <c r="B10" s="2" t="n"/>
      <c r="C10" s="2" t="n"/>
      <c r="D10" s="2" t="n"/>
      <c r="E10" s="2" t="n"/>
      <c r="F10" s="2" t="n"/>
    </row>
    <row r="11">
      <c r="A11" s="2" t="n"/>
      <c r="B11" s="2" t="n"/>
      <c r="C11" s="2" t="n"/>
      <c r="D11" s="2" t="n"/>
      <c r="E11" s="2" t="n"/>
      <c r="F11" s="2" t="n"/>
    </row>
    <row r="12">
      <c r="A12" s="59" t="inlineStr">
        <is>
          <t>Daily Snapshot  ─ overwritten by modeling.daily_refresh after EOD</t>
        </is>
      </c>
      <c r="B12" s="2" t="n"/>
      <c r="C12" s="2" t="n"/>
      <c r="D12" s="2" t="n"/>
      <c r="E12" s="2" t="n"/>
      <c r="F12" s="2" t="n"/>
    </row>
    <row r="13">
      <c r="A13" s="2" t="inlineStr">
        <is>
          <t>Current Price (¥)</t>
        </is>
      </c>
      <c r="B13" s="2" t="n"/>
      <c r="C13" s="66" t="inlineStr">
        <is>
          <t>from daily_bars latest close</t>
        </is>
      </c>
      <c r="D13" s="2" t="n"/>
      <c r="E13" s="2" t="n"/>
      <c r="F13" s="2" t="n"/>
    </row>
    <row r="14">
      <c r="A14" s="2" t="inlineStr">
        <is>
          <t>DCF base (¥)</t>
        </is>
      </c>
      <c r="B14" s="2" t="n"/>
      <c r="C14" s="66" t="inlineStr">
        <is>
          <t>target_prices.db base scenario</t>
        </is>
      </c>
      <c r="D14" s="2" t="n"/>
      <c r="E14" s="2" t="n"/>
      <c r="F14" s="2" t="n"/>
    </row>
    <row r="15">
      <c r="A15" s="2" t="inlineStr">
        <is>
          <t>DCF bull (¥)</t>
        </is>
      </c>
      <c r="B15" s="2" t="n"/>
      <c r="C15" s="66" t="inlineStr">
        <is>
          <t>target_prices.db bull scenario</t>
        </is>
      </c>
      <c r="D15" s="2" t="n"/>
      <c r="E15" s="2" t="n"/>
      <c r="F15" s="2" t="n"/>
    </row>
    <row r="16">
      <c r="A16" s="2" t="inlineStr">
        <is>
          <t>DCF bear (¥)</t>
        </is>
      </c>
      <c r="B16" s="2" t="n"/>
      <c r="C16" s="66" t="inlineStr">
        <is>
          <t>target_prices.db bear scenario</t>
        </is>
      </c>
      <c r="D16" s="2" t="n"/>
      <c r="E16" s="2" t="n"/>
      <c r="F16" s="2" t="n"/>
    </row>
    <row r="17">
      <c r="A17" s="2" t="inlineStr">
        <is>
          <t>Composite verdict</t>
        </is>
      </c>
      <c r="B17" s="2" t="n"/>
      <c r="C17" s="66" t="inlineStr">
        <is>
          <t>Cheap / Fair / Rich vs current</t>
        </is>
      </c>
      <c r="D17" s="2" t="n"/>
      <c r="E17" s="2" t="n"/>
      <c r="F17" s="2" t="n"/>
    </row>
    <row r="18">
      <c r="A18" s="2" t="inlineStr">
        <is>
          <t>Peer median P/E (x)</t>
        </is>
      </c>
      <c r="B18" s="2" t="n"/>
      <c r="C18" s="66" t="inlineStr">
        <is>
          <t>Comp sheet median</t>
        </is>
      </c>
      <c r="D18" s="2" t="n"/>
      <c r="E18" s="2" t="n"/>
      <c r="F18" s="2" t="n"/>
    </row>
    <row r="19">
      <c r="A19" s="2" t="inlineStr">
        <is>
          <t>Last refresh date</t>
        </is>
      </c>
      <c r="B19" s="2" t="n"/>
      <c r="C19" s="66" t="inlineStr"/>
      <c r="D19" s="2" t="n"/>
      <c r="E19" s="2" t="n"/>
      <c r="F19" s="2" t="n"/>
    </row>
    <row r="20">
      <c r="A20" s="2" t="n"/>
      <c r="B20" s="2" t="n"/>
      <c r="C20" s="2" t="n"/>
      <c r="D20" s="2" t="n"/>
      <c r="E20" s="2" t="n"/>
      <c r="F20" s="2" t="n"/>
    </row>
    <row r="21">
      <c r="A21" s="2" t="n"/>
      <c r="B21" s="2" t="n"/>
      <c r="C21" s="2" t="n"/>
      <c r="D21" s="2" t="n"/>
      <c r="E21" s="2" t="n"/>
      <c r="F21" s="2" t="n"/>
    </row>
    <row r="22">
      <c r="A22" s="59" t="inlineStr">
        <is>
          <t>Analyst Notes</t>
        </is>
      </c>
      <c r="B22" s="2" t="n"/>
      <c r="C22" s="2" t="n"/>
      <c r="D22" s="2" t="n"/>
      <c r="E22" s="2" t="n"/>
      <c r="F22" s="2" t="n"/>
    </row>
    <row r="23">
      <c r="A23" s="95" t="inlineStr">
        <is>
          <t>⚠DCFはこの銘柄では読まない。Python側のコンソール出力(scenarios.py)はΔWC=0の粗算スカラーで、工作簿のDCF(Valuation!B25)とは別物。ΔWCの扱いだけで−1,968円〜+6,629円まで動く。判断はP/EとP/Bで行う。</t>
        </is>
      </c>
      <c r="B23" s="2" t="n"/>
      <c r="C23" s="2" t="n"/>
      <c r="D23" s="2" t="n"/>
      <c r="E23" s="2" t="n"/>
      <c r="F23" s="2" t="n"/>
    </row>
    <row r="24">
      <c r="A24" s="95" t="inlineStr">
        <is>
          <t>⚠P/Eバンドも当てにならない。5年の平均P/E 17.42・SD 18.15は、FY22(EPS 35.80)とFY24(EPS 37.51)の2回の業績急減が分母を潰した結果で、−1SDが負値になる。中央値12.02を使うか、P/B(平均0.69・SD0.11、現在0.69=50.8パーセンタイル)を主軸にする。</t>
        </is>
      </c>
      <c r="B24" s="2" t="n"/>
      <c r="C24" s="2" t="n"/>
      <c r="D24" s="2" t="n"/>
      <c r="E24" s="2" t="n"/>
      <c r="F24" s="2" t="n"/>
    </row>
    <row r="25">
      <c r="A25" s="95" t="inlineStr">
        <is>
          <t>駆動: OP = 売上 × 四半期OPM。受注開示が無いためサイクルは値上げ×原材料×数量の3点で見る。</t>
        </is>
      </c>
      <c r="B25" s="2" t="n"/>
      <c r="C25" s="2" t="n"/>
      <c r="D25" s="2" t="n"/>
      <c r="E25" s="2" t="n"/>
      <c r="F25" s="2" t="n"/>
    </row>
    <row r="26">
      <c r="A26" s="95" t="inlineStr">
        <is>
          <t>FY26下期OPMは会社の下方修正後ガイド（営業利益890億/事業利益960億）に逆算で合わせてある。</t>
        </is>
      </c>
      <c r="B26" s="2" t="n"/>
      <c r="C26" s="2" t="n"/>
      <c r="D26" s="2" t="n"/>
      <c r="E26" s="2" t="n"/>
      <c r="F26" s="2" t="n"/>
    </row>
    <row r="27">
      <c r="A27" s="95" t="inlineStr">
        <is>
          <t>FY27の増益ドライバー: 26年下期値上げの通年寄与 / 欧米アクティブトレッド新製品 / Project ARK・タイ新設備のコスト削減 / Tier3ブランドPneumant投入。</t>
        </is>
      </c>
      <c r="B27" s="2" t="n"/>
      <c r="C27" s="2" t="n"/>
      <c r="D27" s="2" t="n"/>
      <c r="E27" s="2" t="n"/>
      <c r="F27" s="2" t="n"/>
    </row>
    <row r="28">
      <c r="A28" s="95" t="inlineStr">
        <is>
          <t>構造要因: 2025-01にGoodyearから欧米豪のDUNLOP商標権を5.26億ドルで取得。欧州は25年3Qに前倒しで黒字化、26年から自社開発品を投入。</t>
        </is>
      </c>
      <c r="B28" s="2" t="n"/>
      <c r="C28" s="2" t="n"/>
      <c r="D28" s="2" t="n"/>
      <c r="E28" s="2" t="n"/>
      <c r="F28" s="2" t="n"/>
    </row>
    <row r="29">
      <c r="A29" s="95" t="inlineStr">
        <is>
          <t>リスク: 大和2026-09-08は足元の原材料市況が会社前提を上回るとして通期計画の達成に留保。2026-02-28の米イスラエルによるイラン攻撃以降、原油と海上運賃が上振れ。</t>
        </is>
      </c>
      <c r="B29" s="2" t="n"/>
      <c r="C29" s="2" t="n"/>
      <c r="D29" s="2" t="n"/>
      <c r="E29" s="2" t="n"/>
      <c r="F29" s="2" t="n"/>
    </row>
    <row r="30">
      <c r="A30" s="95" t="inlineStr">
        <is>
          <t>需給: 信用買残が2026-08-07の68万株から09-11に149万株へ2.2倍、貸借倍率7.3→46.6。下落途中の個人逆張りで上値に滞留玉。</t>
        </is>
      </c>
      <c r="B30" s="2" t="n"/>
      <c r="C30" s="2" t="n"/>
      <c r="D30" s="2" t="n"/>
      <c r="E30" s="2" t="n"/>
      <c r="F30" s="2" t="n"/>
    </row>
    <row r="31">
      <c r="A31" s="95" t="inlineStr">
        <is>
          <t>セグメントSOTP参照: スポーツ（売上10.4%）にはS33=3350内にpeerが無い。読み替えはミズノ80220（S33=3800）だが、Compの中央値を純タイヤ倍率に保つため除外している。</t>
        </is>
      </c>
      <c r="B31" s="2" t="n"/>
      <c r="C31" s="2" t="n"/>
      <c r="D31" s="2" t="n"/>
      <c r="E31" s="2" t="n"/>
      <c r="F31" s="2" t="n"/>
    </row>
    <row r="32">
      <c r="A32" s="95" t="inlineStr">
        <is>
          <t>株主: 住友電気工業28.87%（支配株主等の開示あり）。Silchester（activist）は10.31%→6.66%へ継続減。</t>
        </is>
      </c>
      <c r="B32" s="2" t="n"/>
      <c r="C32" s="2" t="n"/>
      <c r="D32" s="2" t="n"/>
      <c r="E32" s="2" t="n"/>
      <c r="F32" s="2" t="n"/>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Q21"/>
  <sheetViews>
    <sheetView workbookViewId="0">
      <selection activeCell="A1" sqref="A1"/>
    </sheetView>
  </sheetViews>
  <sheetFormatPr baseColWidth="8" defaultRowHeight="15"/>
  <cols>
    <col width="36"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s>
  <sheetData>
    <row r="1">
      <c r="A1" s="84" t="inlineStr">
        <is>
          <t>Sumitomo Rubber Industries — Debt Schedule + Credit Metrics. Auto-rendered when fins_details has interest-bearing debt.</t>
        </is>
      </c>
      <c r="B1" s="2" t="n"/>
      <c r="C1" s="2" t="n"/>
      <c r="D1" s="2" t="n"/>
      <c r="E1" s="2" t="n"/>
      <c r="F1" s="2" t="n"/>
      <c r="G1" s="2" t="n"/>
      <c r="H1" s="2" t="n"/>
      <c r="I1" s="2" t="n"/>
      <c r="J1" s="2" t="n"/>
      <c r="K1" s="2" t="n"/>
      <c r="L1" s="2" t="n"/>
      <c r="M1" s="2" t="n"/>
      <c r="N1" s="2" t="n"/>
      <c r="O1" s="2" t="n"/>
      <c r="P1" s="2" t="n"/>
      <c r="Q1" s="2" t="n"/>
    </row>
    <row r="2">
      <c r="A2" s="2" t="n"/>
      <c r="B2" s="3" t="inlineStr">
        <is>
          <t>FY24Q3</t>
        </is>
      </c>
      <c r="C2" s="3" t="inlineStr">
        <is>
          <t>FY24Q4</t>
        </is>
      </c>
      <c r="D2" s="3" t="inlineStr">
        <is>
          <t>FY25Q1</t>
        </is>
      </c>
      <c r="E2" s="3" t="inlineStr">
        <is>
          <t>FY25Q2</t>
        </is>
      </c>
      <c r="F2" s="3" t="inlineStr">
        <is>
          <t>FY25Q3</t>
        </is>
      </c>
      <c r="G2" s="3" t="inlineStr">
        <is>
          <t>FY25Q4</t>
        </is>
      </c>
      <c r="H2" s="3" t="inlineStr">
        <is>
          <t>FY26Q1</t>
        </is>
      </c>
      <c r="I2" s="3" t="inlineStr">
        <is>
          <t>FY26Q2</t>
        </is>
      </c>
      <c r="J2" s="3" t="inlineStr">
        <is>
          <t>FY26Q3</t>
        </is>
      </c>
      <c r="K2" s="3" t="inlineStr">
        <is>
          <t>FY26Q4</t>
        </is>
      </c>
      <c r="L2" s="3" t="inlineStr">
        <is>
          <t>FY27Q1</t>
        </is>
      </c>
      <c r="M2" s="3" t="inlineStr">
        <is>
          <t>FY27Q2</t>
        </is>
      </c>
      <c r="N2" s="3" t="inlineStr">
        <is>
          <t>FY27Q3</t>
        </is>
      </c>
      <c r="O2" s="3" t="inlineStr">
        <is>
          <t>FY27Q4</t>
        </is>
      </c>
      <c r="P2" s="3" t="inlineStr">
        <is>
          <t>FY28Q1</t>
        </is>
      </c>
      <c r="Q2" s="3" t="inlineStr">
        <is>
          <t>FY28Q2</t>
        </is>
      </c>
    </row>
    <row r="3">
      <c r="A3" s="2" t="n"/>
      <c r="B3" s="2" t="n"/>
      <c r="C3" s="2" t="n"/>
      <c r="D3" s="2" t="n"/>
      <c r="E3" s="2" t="n"/>
      <c r="F3" s="2" t="n"/>
      <c r="G3" s="2" t="n"/>
      <c r="H3" s="2" t="n"/>
      <c r="I3" s="2" t="n"/>
      <c r="J3" s="2" t="n"/>
      <c r="K3" s="2" t="n"/>
      <c r="L3" s="2" t="n"/>
      <c r="M3" s="2" t="n"/>
      <c r="N3" s="2" t="n"/>
      <c r="O3" s="2" t="n"/>
      <c r="P3" s="2" t="n"/>
      <c r="Q3" s="2" t="n"/>
    </row>
    <row r="4">
      <c r="A4" s="3" t="inlineStr">
        <is>
          <t>Beginning of Period (BoP)</t>
        </is>
      </c>
      <c r="B4" s="9">
        <f>FS!B41</f>
        <v/>
      </c>
      <c r="C4" s="9">
        <f>FS!B41</f>
        <v/>
      </c>
      <c r="D4" s="9">
        <f>FS!C41</f>
        <v/>
      </c>
      <c r="E4" s="9">
        <f>FS!D41</f>
        <v/>
      </c>
      <c r="F4" s="9">
        <f>FS!E41</f>
        <v/>
      </c>
      <c r="G4" s="9">
        <f>FS!F41</f>
        <v/>
      </c>
      <c r="H4" s="9">
        <f>FS!G41</f>
        <v/>
      </c>
      <c r="I4" s="9">
        <f>FS!H41</f>
        <v/>
      </c>
      <c r="J4" s="9">
        <f>FS!I41</f>
        <v/>
      </c>
      <c r="K4" s="9">
        <f>FS!J41</f>
        <v/>
      </c>
      <c r="L4" s="9">
        <f>FS!K41</f>
        <v/>
      </c>
      <c r="M4" s="9">
        <f>FS!L41</f>
        <v/>
      </c>
      <c r="N4" s="9">
        <f>FS!M41</f>
        <v/>
      </c>
      <c r="O4" s="9">
        <f>FS!N41</f>
        <v/>
      </c>
      <c r="P4" s="9">
        <f>FS!O41</f>
        <v/>
      </c>
      <c r="Q4" s="9">
        <f>FS!P41</f>
        <v/>
      </c>
    </row>
    <row r="5">
      <c r="A5" s="2" t="inlineStr">
        <is>
          <t xml:space="preserve">  + Issuance (CF row 18 if positive)</t>
        </is>
      </c>
      <c r="B5" s="50">
        <f>MAX(0,B7-B4)</f>
        <v/>
      </c>
      <c r="C5" s="50">
        <f>MAX(0,C7-C4)</f>
        <v/>
      </c>
      <c r="D5" s="50">
        <f>MAX(0,D7-D4)</f>
        <v/>
      </c>
      <c r="E5" s="50">
        <f>MAX(0,E7-E4)</f>
        <v/>
      </c>
      <c r="F5" s="50">
        <f>MAX(0,F7-F4)</f>
        <v/>
      </c>
      <c r="G5" s="50">
        <f>MAX(0,G7-G4)</f>
        <v/>
      </c>
      <c r="H5" s="50">
        <f>MAX(0,H7-H4)</f>
        <v/>
      </c>
      <c r="I5" s="50">
        <f>MAX(0,I7-I4)</f>
        <v/>
      </c>
      <c r="J5" s="50">
        <f>MAX(0,J7-J4)</f>
        <v/>
      </c>
      <c r="K5" s="50">
        <f>MAX(0,K7-K4)</f>
        <v/>
      </c>
      <c r="L5" s="50">
        <f>MAX(0,L7-L4)</f>
        <v/>
      </c>
      <c r="M5" s="50">
        <f>MAX(0,M7-M4)</f>
        <v/>
      </c>
      <c r="N5" s="50">
        <f>MAX(0,N7-N4)</f>
        <v/>
      </c>
      <c r="O5" s="50">
        <f>MAX(0,O7-O4)</f>
        <v/>
      </c>
      <c r="P5" s="50">
        <f>MAX(0,P7-P4)</f>
        <v/>
      </c>
      <c r="Q5" s="50">
        <f>MAX(0,Q7-Q4)</f>
        <v/>
      </c>
    </row>
    <row r="6">
      <c r="A6" s="2" t="inlineStr">
        <is>
          <t xml:space="preserve">  − Repayment (CF row 18 if negative)</t>
        </is>
      </c>
      <c r="B6" s="50">
        <f>MAX(0,B4-B7)</f>
        <v/>
      </c>
      <c r="C6" s="50">
        <f>MAX(0,C4-C7)</f>
        <v/>
      </c>
      <c r="D6" s="50">
        <f>MAX(0,D4-D7)</f>
        <v/>
      </c>
      <c r="E6" s="50">
        <f>MAX(0,E4-E7)</f>
        <v/>
      </c>
      <c r="F6" s="50">
        <f>MAX(0,F4-F7)</f>
        <v/>
      </c>
      <c r="G6" s="50">
        <f>MAX(0,G4-G7)</f>
        <v/>
      </c>
      <c r="H6" s="50">
        <f>MAX(0,H4-H7)</f>
        <v/>
      </c>
      <c r="I6" s="50">
        <f>MAX(0,I4-I7)</f>
        <v/>
      </c>
      <c r="J6" s="50">
        <f>MAX(0,J4-J7)</f>
        <v/>
      </c>
      <c r="K6" s="50">
        <f>MAX(0,K4-K7)</f>
        <v/>
      </c>
      <c r="L6" s="50">
        <f>MAX(0,L4-L7)</f>
        <v/>
      </c>
      <c r="M6" s="50">
        <f>MAX(0,M4-M7)</f>
        <v/>
      </c>
      <c r="N6" s="50">
        <f>MAX(0,N4-N7)</f>
        <v/>
      </c>
      <c r="O6" s="50">
        <f>MAX(0,O4-O7)</f>
        <v/>
      </c>
      <c r="P6" s="50">
        <f>MAX(0,P4-P7)</f>
        <v/>
      </c>
      <c r="Q6" s="50">
        <f>MAX(0,Q4-Q7)</f>
        <v/>
      </c>
    </row>
    <row r="7">
      <c r="A7" s="3" t="inlineStr">
        <is>
          <t>End of Period (EoP) — links to BS row 15</t>
        </is>
      </c>
      <c r="B7" s="11">
        <f>FS!B41</f>
        <v/>
      </c>
      <c r="C7" s="11">
        <f>FS!C41</f>
        <v/>
      </c>
      <c r="D7" s="11">
        <f>FS!D41</f>
        <v/>
      </c>
      <c r="E7" s="11">
        <f>FS!E41</f>
        <v/>
      </c>
      <c r="F7" s="11">
        <f>FS!F41</f>
        <v/>
      </c>
      <c r="G7" s="11">
        <f>FS!G41</f>
        <v/>
      </c>
      <c r="H7" s="11">
        <f>FS!H41</f>
        <v/>
      </c>
      <c r="I7" s="11">
        <f>FS!I41</f>
        <v/>
      </c>
      <c r="J7" s="11">
        <f>FS!J41</f>
        <v/>
      </c>
      <c r="K7" s="11">
        <f>FS!K41</f>
        <v/>
      </c>
      <c r="L7" s="11">
        <f>FS!L41</f>
        <v/>
      </c>
      <c r="M7" s="11">
        <f>FS!M41</f>
        <v/>
      </c>
      <c r="N7" s="11">
        <f>FS!N41</f>
        <v/>
      </c>
      <c r="O7" s="11">
        <f>FS!O41</f>
        <v/>
      </c>
      <c r="P7" s="11">
        <f>FS!P41</f>
        <v/>
      </c>
      <c r="Q7" s="11">
        <f>FS!Q41</f>
        <v/>
      </c>
    </row>
    <row r="8">
      <c r="A8" s="96" t="inlineStr">
        <is>
          <t>Avg balance (BoP+EoP)/2</t>
        </is>
      </c>
      <c r="B8" s="50">
        <f>(B4+B7)/2</f>
        <v/>
      </c>
      <c r="C8" s="50">
        <f>(C4+C7)/2</f>
        <v/>
      </c>
      <c r="D8" s="50">
        <f>(D4+D7)/2</f>
        <v/>
      </c>
      <c r="E8" s="50">
        <f>(E4+E7)/2</f>
        <v/>
      </c>
      <c r="F8" s="50">
        <f>(F4+F7)/2</f>
        <v/>
      </c>
      <c r="G8" s="50">
        <f>(G4+G7)/2</f>
        <v/>
      </c>
      <c r="H8" s="50">
        <f>(H4+H7)/2</f>
        <v/>
      </c>
      <c r="I8" s="50">
        <f>(I4+I7)/2</f>
        <v/>
      </c>
      <c r="J8" s="50">
        <f>(J4+J7)/2</f>
        <v/>
      </c>
      <c r="K8" s="50">
        <f>(K4+K7)/2</f>
        <v/>
      </c>
      <c r="L8" s="50">
        <f>(L4+L7)/2</f>
        <v/>
      </c>
      <c r="M8" s="50">
        <f>(M4+M7)/2</f>
        <v/>
      </c>
      <c r="N8" s="50">
        <f>(N4+N7)/2</f>
        <v/>
      </c>
      <c r="O8" s="50">
        <f>(O4+O7)/2</f>
        <v/>
      </c>
      <c r="P8" s="50">
        <f>(P4+P7)/2</f>
        <v/>
      </c>
      <c r="Q8" s="50">
        <f>(Q4+Q7)/2</f>
        <v/>
      </c>
    </row>
    <row r="9">
      <c r="A9" s="2" t="n"/>
      <c r="B9" s="2" t="n"/>
      <c r="C9" s="2" t="n"/>
      <c r="D9" s="2" t="n"/>
      <c r="E9" s="2" t="n"/>
      <c r="F9" s="2" t="n"/>
      <c r="G9" s="2" t="n"/>
      <c r="H9" s="2" t="n"/>
      <c r="I9" s="2" t="n"/>
      <c r="J9" s="2" t="n"/>
      <c r="K9" s="2" t="n"/>
      <c r="L9" s="2" t="n"/>
      <c r="M9" s="2" t="n"/>
      <c r="N9" s="2" t="n"/>
      <c r="O9" s="2" t="n"/>
      <c r="P9" s="2" t="n"/>
      <c r="Q9" s="2" t="n"/>
    </row>
    <row r="10">
      <c r="A10" s="3" t="inlineStr">
        <is>
          <t>Interest rate (annual %)</t>
        </is>
      </c>
      <c r="B10" s="97" t="n">
        <v>1.5</v>
      </c>
      <c r="C10" s="98" t="inlineStr">
        <is>
          <t>(adjust; reflects current avg cost of debt)</t>
        </is>
      </c>
      <c r="D10" s="2" t="n"/>
      <c r="E10" s="2" t="n"/>
      <c r="F10" s="2" t="n"/>
      <c r="G10" s="2" t="n"/>
      <c r="H10" s="2" t="n"/>
      <c r="I10" s="2" t="n"/>
      <c r="J10" s="2" t="n"/>
      <c r="K10" s="2" t="n"/>
      <c r="L10" s="2" t="n"/>
      <c r="M10" s="2" t="n"/>
      <c r="N10" s="2" t="n"/>
      <c r="O10" s="2" t="n"/>
      <c r="P10" s="2" t="n"/>
      <c r="Q10" s="2" t="n"/>
    </row>
    <row r="11">
      <c r="A11" s="2" t="inlineStr">
        <is>
          <t>Interest expense (Avg × rate ÷ 4)</t>
        </is>
      </c>
      <c r="B11" s="50">
        <f>B8*$B$10/100/4</f>
        <v/>
      </c>
      <c r="C11" s="50">
        <f>C8*$B$10/100/4</f>
        <v/>
      </c>
      <c r="D11" s="50">
        <f>D8*$B$10/100/4</f>
        <v/>
      </c>
      <c r="E11" s="50">
        <f>E8*$B$10/100/4</f>
        <v/>
      </c>
      <c r="F11" s="50">
        <f>F8*$B$10/100/4</f>
        <v/>
      </c>
      <c r="G11" s="50">
        <f>G8*$B$10/100/4</f>
        <v/>
      </c>
      <c r="H11" s="50">
        <f>H8*$B$10/100/4</f>
        <v/>
      </c>
      <c r="I11" s="50">
        <f>I8*$B$10/100/4</f>
        <v/>
      </c>
      <c r="J11" s="50">
        <f>J8*$B$10/100/4</f>
        <v/>
      </c>
      <c r="K11" s="50">
        <f>K8*$B$10/100/4</f>
        <v/>
      </c>
      <c r="L11" s="50">
        <f>L8*$B$10/100/4</f>
        <v/>
      </c>
      <c r="M11" s="50">
        <f>M8*$B$10/100/4</f>
        <v/>
      </c>
      <c r="N11" s="50">
        <f>N8*$B$10/100/4</f>
        <v/>
      </c>
      <c r="O11" s="50">
        <f>O8*$B$10/100/4</f>
        <v/>
      </c>
      <c r="P11" s="50">
        <f>P8*$B$10/100/4</f>
        <v/>
      </c>
      <c r="Q11" s="50">
        <f>Q8*$B$10/100/4</f>
        <v/>
      </c>
    </row>
    <row r="12">
      <c r="A12" s="96" t="inlineStr">
        <is>
          <t xml:space="preserve">  Disclosed (fins_details, hist FY only)</t>
        </is>
      </c>
      <c r="B12" s="10" t="n">
        <v>117.5</v>
      </c>
      <c r="C12" s="10" t="n">
        <v>72.90000000000001</v>
      </c>
      <c r="D12" s="10" t="n">
        <v>109.2</v>
      </c>
      <c r="E12" s="10" t="n">
        <v>188.6</v>
      </c>
      <c r="F12" s="10" t="n">
        <v>214.6</v>
      </c>
      <c r="G12" s="10" t="n">
        <v>228.3</v>
      </c>
      <c r="H12" s="10" t="n">
        <v>50.8</v>
      </c>
      <c r="I12" s="10" t="n">
        <v>61.8</v>
      </c>
      <c r="J12" s="2" t="n"/>
      <c r="K12" s="2" t="n"/>
      <c r="L12" s="2" t="n"/>
      <c r="M12" s="2" t="n"/>
      <c r="N12" s="2" t="n"/>
      <c r="O12" s="2" t="n"/>
      <c r="P12" s="2" t="n"/>
      <c r="Q12" s="2" t="n"/>
    </row>
    <row r="13">
      <c r="A13" s="2" t="n"/>
      <c r="B13" s="2" t="n"/>
      <c r="C13" s="2" t="n"/>
      <c r="D13" s="2" t="n"/>
      <c r="E13" s="2" t="n"/>
      <c r="F13" s="2" t="n"/>
      <c r="G13" s="2" t="n"/>
      <c r="H13" s="2" t="n"/>
      <c r="I13" s="2" t="n"/>
      <c r="J13" s="2" t="n"/>
      <c r="K13" s="2" t="n"/>
      <c r="L13" s="2" t="n"/>
      <c r="M13" s="2" t="n"/>
      <c r="N13" s="2" t="n"/>
      <c r="O13" s="2" t="n"/>
      <c r="P13" s="2" t="n"/>
      <c r="Q13" s="2" t="n"/>
    </row>
    <row r="14">
      <c r="A14" s="99" t="inlineStr">
        <is>
          <t>Credit Metrics</t>
        </is>
      </c>
      <c r="B14" s="2" t="n"/>
      <c r="C14" s="2" t="n"/>
      <c r="D14" s="2" t="n"/>
      <c r="E14" s="2" t="n"/>
      <c r="F14" s="2" t="n"/>
      <c r="G14" s="2" t="n"/>
      <c r="H14" s="2" t="n"/>
      <c r="I14" s="2" t="n"/>
      <c r="J14" s="2" t="n"/>
      <c r="K14" s="2" t="n"/>
      <c r="L14" s="2" t="n"/>
      <c r="M14" s="2" t="n"/>
      <c r="N14" s="2" t="n"/>
      <c r="O14" s="2" t="n"/>
      <c r="P14" s="2" t="n"/>
      <c r="Q14" s="2" t="n"/>
    </row>
    <row r="15">
      <c r="A15" s="3" t="inlineStr">
        <is>
          <t>Net Debt (Debt - Cash)</t>
        </is>
      </c>
      <c r="B15" s="9">
        <f>FS!B41-FS!B30</f>
        <v/>
      </c>
      <c r="C15" s="9">
        <f>FS!C41-FS!C30</f>
        <v/>
      </c>
      <c r="D15" s="9">
        <f>FS!D41-FS!D30</f>
        <v/>
      </c>
      <c r="E15" s="9">
        <f>FS!E41-FS!E30</f>
        <v/>
      </c>
      <c r="F15" s="9">
        <f>FS!F41-FS!F30</f>
        <v/>
      </c>
      <c r="G15" s="9">
        <f>FS!G41-FS!G30</f>
        <v/>
      </c>
      <c r="H15" s="9">
        <f>FS!H41-FS!H30</f>
        <v/>
      </c>
      <c r="I15" s="9">
        <f>FS!I41-FS!I30</f>
        <v/>
      </c>
      <c r="J15" s="9">
        <f>FS!J41-FS!J30</f>
        <v/>
      </c>
      <c r="K15" s="9">
        <f>FS!K41-FS!K30</f>
        <v/>
      </c>
      <c r="L15" s="9">
        <f>FS!L41-FS!L30</f>
        <v/>
      </c>
      <c r="M15" s="9">
        <f>FS!M41-FS!M30</f>
        <v/>
      </c>
      <c r="N15" s="9">
        <f>FS!N41-FS!N30</f>
        <v/>
      </c>
      <c r="O15" s="9">
        <f>FS!O41-FS!O30</f>
        <v/>
      </c>
      <c r="P15" s="9">
        <f>FS!P41-FS!P30</f>
        <v/>
      </c>
      <c r="Q15" s="9">
        <f>FS!Q41-FS!Q30</f>
        <v/>
      </c>
    </row>
    <row r="16">
      <c r="A16" s="3" t="inlineStr">
        <is>
          <t>Net Debt / EBITDA (x)</t>
        </is>
      </c>
      <c r="B16" s="100">
        <f>IFERROR(B15/((FS!B9+FS!B70)*4),0)</f>
        <v/>
      </c>
      <c r="C16" s="100">
        <f>IFERROR(C15/((FS!C9+FS!C70)*4),0)</f>
        <v/>
      </c>
      <c r="D16" s="100">
        <f>IFERROR(D15/((FS!D9+FS!D70)*4),0)</f>
        <v/>
      </c>
      <c r="E16" s="100">
        <f>IFERROR(E15/((FS!E9+FS!E70)*4),0)</f>
        <v/>
      </c>
      <c r="F16" s="100">
        <f>IFERROR(F15/((FS!F9+FS!F70)*4),0)</f>
        <v/>
      </c>
      <c r="G16" s="100">
        <f>IFERROR(G15/((FS!G9+FS!G70)*4),0)</f>
        <v/>
      </c>
      <c r="H16" s="100">
        <f>IFERROR(H15/((FS!H9+FS!H70)*4),0)</f>
        <v/>
      </c>
      <c r="I16" s="100">
        <f>IFERROR(I15/((FS!I9+FS!I70)*4),0)</f>
        <v/>
      </c>
      <c r="J16" s="100">
        <f>IFERROR(J15/((FS!J9+FS!J70)*4),0)</f>
        <v/>
      </c>
      <c r="K16" s="100">
        <f>IFERROR(K15/((FS!K9+FS!K70)*4),0)</f>
        <v/>
      </c>
      <c r="L16" s="100">
        <f>IFERROR(L15/((FS!L9+FS!L70)*4),0)</f>
        <v/>
      </c>
      <c r="M16" s="100">
        <f>IFERROR(M15/((FS!M9+FS!M70)*4),0)</f>
        <v/>
      </c>
      <c r="N16" s="100">
        <f>IFERROR(N15/((FS!N9+FS!N70)*4),0)</f>
        <v/>
      </c>
      <c r="O16" s="100">
        <f>IFERROR(O15/((FS!O9+FS!O70)*4),0)</f>
        <v/>
      </c>
      <c r="P16" s="100">
        <f>IFERROR(P15/((FS!P9+FS!P70)*4),0)</f>
        <v/>
      </c>
      <c r="Q16" s="100">
        <f>IFERROR(Q15/((FS!Q9+FS!Q70)*4),0)</f>
        <v/>
      </c>
    </row>
    <row r="17">
      <c r="A17" s="3" t="inlineStr">
        <is>
          <t>Interest Coverage (EBITDA/Int)</t>
        </is>
      </c>
      <c r="B17" s="101">
        <f>IFERROR((FS!B9+FS!B70)/B11,"")</f>
        <v/>
      </c>
      <c r="C17" s="101">
        <f>IFERROR((FS!C9+FS!C70)/C11,"")</f>
        <v/>
      </c>
      <c r="D17" s="101">
        <f>IFERROR((FS!D9+FS!D70)/D11,"")</f>
        <v/>
      </c>
      <c r="E17" s="101">
        <f>IFERROR((FS!E9+FS!E70)/E11,"")</f>
        <v/>
      </c>
      <c r="F17" s="101">
        <f>IFERROR((FS!F9+FS!F70)/F11,"")</f>
        <v/>
      </c>
      <c r="G17" s="101">
        <f>IFERROR((FS!G9+FS!G70)/G11,"")</f>
        <v/>
      </c>
      <c r="H17" s="101">
        <f>IFERROR((FS!H9+FS!H70)/H11,"")</f>
        <v/>
      </c>
      <c r="I17" s="101">
        <f>IFERROR((FS!I9+FS!I70)/I11,"")</f>
        <v/>
      </c>
      <c r="J17" s="101">
        <f>IFERROR((FS!J9+FS!J70)/J11,"")</f>
        <v/>
      </c>
      <c r="K17" s="101">
        <f>IFERROR((FS!K9+FS!K70)/K11,"")</f>
        <v/>
      </c>
      <c r="L17" s="101">
        <f>IFERROR((FS!L9+FS!L70)/L11,"")</f>
        <v/>
      </c>
      <c r="M17" s="101">
        <f>IFERROR((FS!M9+FS!M70)/M11,"")</f>
        <v/>
      </c>
      <c r="N17" s="101">
        <f>IFERROR((FS!N9+FS!N70)/N11,"")</f>
        <v/>
      </c>
      <c r="O17" s="101">
        <f>IFERROR((FS!O9+FS!O70)/O11,"")</f>
        <v/>
      </c>
      <c r="P17" s="101">
        <f>IFERROR((FS!P9+FS!P70)/P11,"")</f>
        <v/>
      </c>
      <c r="Q17" s="101">
        <f>IFERROR((FS!Q9+FS!Q70)/Q11,"")</f>
        <v/>
      </c>
    </row>
    <row r="18">
      <c r="A18" s="3" t="inlineStr">
        <is>
          <t>Debt / Equity (x)</t>
        </is>
      </c>
      <c r="B18" s="100">
        <f>IFERROR(FS!B41/FS!B48,0)</f>
        <v/>
      </c>
      <c r="C18" s="100">
        <f>IFERROR(FS!C41/FS!C48,0)</f>
        <v/>
      </c>
      <c r="D18" s="100">
        <f>IFERROR(FS!D41/FS!D48,0)</f>
        <v/>
      </c>
      <c r="E18" s="100">
        <f>IFERROR(FS!E41/FS!E48,0)</f>
        <v/>
      </c>
      <c r="F18" s="100">
        <f>IFERROR(FS!F41/FS!F48,0)</f>
        <v/>
      </c>
      <c r="G18" s="100">
        <f>IFERROR(FS!G41/FS!G48,0)</f>
        <v/>
      </c>
      <c r="H18" s="100">
        <f>IFERROR(FS!H41/FS!H48,0)</f>
        <v/>
      </c>
      <c r="I18" s="100">
        <f>IFERROR(FS!I41/FS!I48,0)</f>
        <v/>
      </c>
      <c r="J18" s="100">
        <f>IFERROR(FS!J41/FS!J48,0)</f>
        <v/>
      </c>
      <c r="K18" s="100">
        <f>IFERROR(FS!K41/FS!K48,0)</f>
        <v/>
      </c>
      <c r="L18" s="100">
        <f>IFERROR(FS!L41/FS!L48,0)</f>
        <v/>
      </c>
      <c r="M18" s="100">
        <f>IFERROR(FS!M41/FS!M48,0)</f>
        <v/>
      </c>
      <c r="N18" s="100">
        <f>IFERROR(FS!N41/FS!N48,0)</f>
        <v/>
      </c>
      <c r="O18" s="100">
        <f>IFERROR(FS!O41/FS!O48,0)</f>
        <v/>
      </c>
      <c r="P18" s="100">
        <f>IFERROR(FS!P41/FS!P48,0)</f>
        <v/>
      </c>
      <c r="Q18" s="100">
        <f>IFERROR(FS!Q41/FS!Q48,0)</f>
        <v/>
      </c>
    </row>
    <row r="19">
      <c r="A19" s="3" t="inlineStr">
        <is>
          <t>Debt / Total Cap (%)</t>
        </is>
      </c>
      <c r="B19" s="53">
        <f>IFERROR(FS!B41/(FS!B41+FS!B48)*100,0)</f>
        <v/>
      </c>
      <c r="C19" s="53">
        <f>IFERROR(FS!C41/(FS!C41+FS!C48)*100,0)</f>
        <v/>
      </c>
      <c r="D19" s="53">
        <f>IFERROR(FS!D41/(FS!D41+FS!D48)*100,0)</f>
        <v/>
      </c>
      <c r="E19" s="53">
        <f>IFERROR(FS!E41/(FS!E41+FS!E48)*100,0)</f>
        <v/>
      </c>
      <c r="F19" s="53">
        <f>IFERROR(FS!F41/(FS!F41+FS!F48)*100,0)</f>
        <v/>
      </c>
      <c r="G19" s="53">
        <f>IFERROR(FS!G41/(FS!G41+FS!G48)*100,0)</f>
        <v/>
      </c>
      <c r="H19" s="53">
        <f>IFERROR(FS!H41/(FS!H41+FS!H48)*100,0)</f>
        <v/>
      </c>
      <c r="I19" s="53">
        <f>IFERROR(FS!I41/(FS!I41+FS!I48)*100,0)</f>
        <v/>
      </c>
      <c r="J19" s="53">
        <f>IFERROR(FS!J41/(FS!J41+FS!J48)*100,0)</f>
        <v/>
      </c>
      <c r="K19" s="53">
        <f>IFERROR(FS!K41/(FS!K41+FS!K48)*100,0)</f>
        <v/>
      </c>
      <c r="L19" s="53">
        <f>IFERROR(FS!L41/(FS!L41+FS!L48)*100,0)</f>
        <v/>
      </c>
      <c r="M19" s="53">
        <f>IFERROR(FS!M41/(FS!M41+FS!M48)*100,0)</f>
        <v/>
      </c>
      <c r="N19" s="53">
        <f>IFERROR(FS!N41/(FS!N41+FS!N48)*100,0)</f>
        <v/>
      </c>
      <c r="O19" s="53">
        <f>IFERROR(FS!O41/(FS!O41+FS!O48)*100,0)</f>
        <v/>
      </c>
      <c r="P19" s="53">
        <f>IFERROR(FS!P41/(FS!P41+FS!P48)*100,0)</f>
        <v/>
      </c>
      <c r="Q19" s="53">
        <f>IFERROR(FS!Q41/(FS!Q41+FS!Q48)*100,0)</f>
        <v/>
      </c>
    </row>
    <row r="20">
      <c r="A20" s="3" t="inlineStr">
        <is>
          <t>Current Ratio (CA/CL)</t>
        </is>
      </c>
      <c r="B20" s="100">
        <f>IFERROR(FS!B34/(FS!B40+FS!B42),0)</f>
        <v/>
      </c>
      <c r="C20" s="100">
        <f>IFERROR(FS!C34/(FS!C40+FS!C42),0)</f>
        <v/>
      </c>
      <c r="D20" s="100">
        <f>IFERROR(FS!D34/(FS!D40+FS!D42),0)</f>
        <v/>
      </c>
      <c r="E20" s="100">
        <f>IFERROR(FS!E34/(FS!E40+FS!E42),0)</f>
        <v/>
      </c>
      <c r="F20" s="100">
        <f>IFERROR(FS!F34/(FS!F40+FS!F42),0)</f>
        <v/>
      </c>
      <c r="G20" s="100">
        <f>IFERROR(FS!G34/(FS!G40+FS!G42),0)</f>
        <v/>
      </c>
      <c r="H20" s="100">
        <f>IFERROR(FS!H34/(FS!H40+FS!H42),0)</f>
        <v/>
      </c>
      <c r="I20" s="100">
        <f>IFERROR(FS!I34/(FS!I40+FS!I42),0)</f>
        <v/>
      </c>
      <c r="J20" s="100">
        <f>IFERROR(FS!J34/(FS!J40+FS!J42),0)</f>
        <v/>
      </c>
      <c r="K20" s="100">
        <f>IFERROR(FS!K34/(FS!K40+FS!K42),0)</f>
        <v/>
      </c>
      <c r="L20" s="100">
        <f>IFERROR(FS!L34/(FS!L40+FS!L42),0)</f>
        <v/>
      </c>
      <c r="M20" s="100">
        <f>IFERROR(FS!M34/(FS!M40+FS!M42),0)</f>
        <v/>
      </c>
      <c r="N20" s="100">
        <f>IFERROR(FS!N34/(FS!N40+FS!N42),0)</f>
        <v/>
      </c>
      <c r="O20" s="100">
        <f>IFERROR(FS!O34/(FS!O40+FS!O42),0)</f>
        <v/>
      </c>
      <c r="P20" s="100">
        <f>IFERROR(FS!P34/(FS!P40+FS!P42),0)</f>
        <v/>
      </c>
      <c r="Q20" s="100">
        <f>IFERROR(FS!Q34/(FS!Q40+FS!Q42),0)</f>
        <v/>
      </c>
    </row>
    <row r="21">
      <c r="A21" s="3" t="inlineStr">
        <is>
          <t>Quick Ratio (CA-Inv)/CL</t>
        </is>
      </c>
      <c r="B21" s="100">
        <f>IFERROR((FS!B34-FS!B32)/(FS!B40+FS!B42),0)</f>
        <v/>
      </c>
      <c r="C21" s="100">
        <f>IFERROR((FS!C34-FS!C32)/(FS!C40+FS!C42),0)</f>
        <v/>
      </c>
      <c r="D21" s="100">
        <f>IFERROR((FS!D34-FS!D32)/(FS!D40+FS!D42),0)</f>
        <v/>
      </c>
      <c r="E21" s="100">
        <f>IFERROR((FS!E34-FS!E32)/(FS!E40+FS!E42),0)</f>
        <v/>
      </c>
      <c r="F21" s="100">
        <f>IFERROR((FS!F34-FS!F32)/(FS!F40+FS!F42),0)</f>
        <v/>
      </c>
      <c r="G21" s="100">
        <f>IFERROR((FS!G34-FS!G32)/(FS!G40+FS!G42),0)</f>
        <v/>
      </c>
      <c r="H21" s="100">
        <f>IFERROR((FS!H34-FS!H32)/(FS!H40+FS!H42),0)</f>
        <v/>
      </c>
      <c r="I21" s="100">
        <f>IFERROR((FS!I34-FS!I32)/(FS!I40+FS!I42),0)</f>
        <v/>
      </c>
      <c r="J21" s="100">
        <f>IFERROR((FS!J34-FS!J32)/(FS!J40+FS!J42),0)</f>
        <v/>
      </c>
      <c r="K21" s="100">
        <f>IFERROR((FS!K34-FS!K32)/(FS!K40+FS!K42),0)</f>
        <v/>
      </c>
      <c r="L21" s="100">
        <f>IFERROR((FS!L34-FS!L32)/(FS!L40+FS!L42),0)</f>
        <v/>
      </c>
      <c r="M21" s="100">
        <f>IFERROR((FS!M34-FS!M32)/(FS!M40+FS!M42),0)</f>
        <v/>
      </c>
      <c r="N21" s="100">
        <f>IFERROR((FS!N34-FS!N32)/(FS!N40+FS!N42),0)</f>
        <v/>
      </c>
      <c r="O21" s="100">
        <f>IFERROR((FS!O34-FS!O32)/(FS!O40+FS!O42),0)</f>
        <v/>
      </c>
      <c r="P21" s="100">
        <f>IFERROR((FS!P34-FS!P32)/(FS!P40+FS!P42),0)</f>
        <v/>
      </c>
      <c r="Q21" s="100">
        <f>IFERROR((FS!Q34-FS!Q32)/(FS!Q40+FS!Q42),0)</f>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sheetData>
    <row r="1">
      <c r="A1" s="84" t="inlineStr">
        <is>
          <t>Sumitomo Rubber Industries — Revenue by Customer (single-Q, 億円). Source: deck p5 得意先別売上収益 vision-extracted.</t>
        </is>
      </c>
    </row>
    <row r="2">
      <c r="A2" s="2" t="n"/>
    </row>
    <row r="3">
      <c r="A3" s="2" t="inlineStr">
        <is>
          <t>No customer observations in decks DB.</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102"/>
  <sheetViews>
    <sheetView workbookViewId="0">
      <selection activeCell="A1" sqref="A1"/>
    </sheetView>
  </sheetViews>
  <sheetFormatPr baseColWidth="8" defaultRowHeight="15"/>
  <cols>
    <col width="46" customWidth="1" min="1" max="1"/>
    <col width="15" customWidth="1" min="2" max="2"/>
    <col width="13" customWidth="1" min="3" max="3"/>
    <col width="15" customWidth="1" min="4" max="4"/>
    <col width="13" customWidth="1" min="5" max="5"/>
    <col width="12" customWidth="1" min="6" max="6"/>
    <col width="11" customWidth="1" min="7" max="7"/>
    <col width="11" customWidth="1" min="8" max="8"/>
    <col width="11" customWidth="1" min="9" max="9"/>
    <col width="11" customWidth="1" min="10" max="10"/>
  </cols>
  <sheetData>
    <row r="1">
      <c r="A1" s="84" t="inlineStr">
        <is>
          <t>Sumitomo Rubber Industries — Cycle Multiple Bands (full history, PIT, split-adjusted)</t>
        </is>
      </c>
      <c r="B1" s="2" t="n"/>
      <c r="C1" s="2" t="n"/>
      <c r="D1" s="2" t="n"/>
      <c r="E1" s="2" t="n"/>
      <c r="F1" s="2" t="n"/>
      <c r="G1" s="2" t="n"/>
      <c r="H1" s="2" t="n"/>
      <c r="I1" s="2" t="n"/>
      <c r="J1" s="2" t="n"/>
      <c r="K1" s="2" t="n"/>
    </row>
    <row r="2">
      <c r="A2" s="35" t="inlineStr">
        <is>
          <t>UPCYCLE → read P/E.  BOTTOM → read P/B (trough EPS makes P/E meaningless). Phase clock is DESCRIPTIVE (full-sample OPM median), never a signal.</t>
        </is>
      </c>
      <c r="B2" s="2" t="n"/>
      <c r="C2" s="2" t="n"/>
      <c r="D2" s="2" t="n"/>
      <c r="E2" s="2" t="n"/>
      <c r="F2" s="2" t="n"/>
      <c r="G2" s="2" t="n"/>
      <c r="H2" s="2" t="n"/>
      <c r="I2" s="2" t="n"/>
      <c r="J2" s="2" t="n"/>
      <c r="K2" s="2" t="n"/>
    </row>
    <row r="3">
      <c r="A3" s="2" t="n"/>
      <c r="B3" s="2" t="n"/>
      <c r="C3" s="2" t="n"/>
      <c r="D3" s="2" t="n"/>
      <c r="E3" s="2" t="n"/>
      <c r="F3" s="2" t="n"/>
      <c r="G3" s="2" t="n"/>
      <c r="H3" s="2" t="n"/>
      <c r="I3" s="2" t="n"/>
      <c r="J3" s="2" t="n"/>
      <c r="K3" s="2" t="n"/>
    </row>
    <row r="4">
      <c r="A4" s="59" t="inlineStr">
        <is>
          <t>0. P/B comparability gate — cash ÷ equity (FY-end)</t>
        </is>
      </c>
      <c r="B4" s="2" t="n"/>
      <c r="C4" s="2" t="n"/>
      <c r="D4" s="2" t="n"/>
      <c r="E4" s="2" t="n"/>
      <c r="F4" s="2" t="n"/>
      <c r="G4" s="2" t="n"/>
      <c r="H4" s="2" t="n"/>
      <c r="I4" s="2" t="n"/>
      <c r="J4" s="2" t="n"/>
      <c r="K4" s="2" t="n"/>
    </row>
    <row r="5">
      <c r="A5" s="2" t="inlineStr">
        <is>
          <t>range 9.1%-16.0%, mean 13.4%, first3→last3 drift +1.3pp → P/B COMPARABLE across time</t>
        </is>
      </c>
      <c r="B5" s="2" t="n"/>
      <c r="C5" s="2" t="n"/>
      <c r="D5" s="2" t="n"/>
      <c r="E5" s="2" t="n"/>
      <c r="F5" s="2" t="n"/>
      <c r="G5" s="2" t="n"/>
      <c r="H5" s="2" t="n"/>
      <c r="I5" s="2" t="n"/>
      <c r="J5" s="2" t="n"/>
      <c r="K5" s="2" t="n"/>
    </row>
    <row r="6">
      <c r="A6" s="2" t="n"/>
      <c r="B6" s="2" t="n"/>
      <c r="C6" s="2" t="n"/>
      <c r="D6" s="2" t="n"/>
      <c r="E6" s="2" t="n"/>
      <c r="F6" s="2" t="n"/>
      <c r="G6" s="2" t="n"/>
      <c r="H6" s="2" t="n"/>
      <c r="I6" s="2" t="n"/>
      <c r="J6" s="2" t="n"/>
      <c r="K6" s="2" t="n"/>
    </row>
    <row r="7">
      <c r="A7" s="59" t="inlineStr">
        <is>
          <t>1. Full-history band (monthly, TTM basis)</t>
        </is>
      </c>
      <c r="B7" s="2" t="n"/>
      <c r="C7" s="2" t="n"/>
      <c r="D7" s="2" t="n"/>
      <c r="E7" s="2" t="n"/>
      <c r="F7" s="2" t="n"/>
      <c r="G7" s="2" t="n"/>
      <c r="H7" s="2" t="n"/>
      <c r="I7" s="2" t="n"/>
      <c r="J7" s="2" t="n"/>
      <c r="K7" s="2" t="n"/>
    </row>
    <row r="8">
      <c r="A8" s="37" t="inlineStr">
        <is>
          <t>Metric</t>
        </is>
      </c>
      <c r="B8" s="37" t="inlineStr">
        <is>
          <t>n</t>
        </is>
      </c>
      <c r="C8" s="37" t="inlineStr">
        <is>
          <t>min</t>
        </is>
      </c>
      <c r="D8" s="37" t="inlineStr">
        <is>
          <t>p10</t>
        </is>
      </c>
      <c r="E8" s="37" t="inlineStr">
        <is>
          <t>p25</t>
        </is>
      </c>
      <c r="F8" s="37" t="inlineStr">
        <is>
          <t>median</t>
        </is>
      </c>
      <c r="G8" s="37" t="inlineStr">
        <is>
          <t>p75</t>
        </is>
      </c>
      <c r="H8" s="37" t="inlineStr">
        <is>
          <t>p90</t>
        </is>
      </c>
      <c r="I8" s="37" t="inlineStr">
        <is>
          <t>max</t>
        </is>
      </c>
      <c r="J8" s="2" t="n"/>
      <c r="K8" s="2" t="n"/>
    </row>
    <row r="9">
      <c r="A9" s="3" t="inlineStr">
        <is>
          <t>P/E</t>
        </is>
      </c>
      <c r="B9" s="2" t="n">
        <v>183</v>
      </c>
      <c r="C9" s="21" t="n">
        <v>5.51</v>
      </c>
      <c r="D9" s="21" t="n">
        <v>7.04</v>
      </c>
      <c r="E9" s="21" t="n">
        <v>8.460000000000001</v>
      </c>
      <c r="F9" s="21" t="n">
        <v>10.28</v>
      </c>
      <c r="G9" s="21" t="n">
        <v>13.12</v>
      </c>
      <c r="H9" s="21" t="n">
        <v>23.61</v>
      </c>
      <c r="I9" s="21" t="n">
        <v>194.38</v>
      </c>
      <c r="J9" s="2" t="n"/>
      <c r="K9" s="2" t="n"/>
    </row>
    <row r="10">
      <c r="A10" s="3" t="inlineStr">
        <is>
          <t>P/B</t>
        </is>
      </c>
      <c r="B10" s="2" t="n">
        <v>203</v>
      </c>
      <c r="C10" s="21" t="n">
        <v>0.52</v>
      </c>
      <c r="D10" s="21" t="n">
        <v>0.59</v>
      </c>
      <c r="E10" s="21" t="n">
        <v>0.71</v>
      </c>
      <c r="F10" s="21" t="n">
        <v>1.01</v>
      </c>
      <c r="G10" s="21" t="n">
        <v>1.23</v>
      </c>
      <c r="H10" s="21" t="n">
        <v>1.37</v>
      </c>
      <c r="I10" s="21" t="n">
        <v>1.93</v>
      </c>
      <c r="J10" s="2" t="n"/>
      <c r="K10" s="2" t="n"/>
    </row>
    <row r="11">
      <c r="A11" s="2" t="n"/>
      <c r="B11" s="2" t="n"/>
      <c r="C11" s="2" t="n"/>
      <c r="D11" s="2" t="n"/>
      <c r="E11" s="2" t="n"/>
      <c r="F11" s="2" t="n"/>
      <c r="G11" s="2" t="n"/>
      <c r="H11" s="2" t="n"/>
      <c r="I11" s="2" t="n"/>
      <c r="J11" s="2" t="n"/>
      <c r="K11" s="2" t="n"/>
    </row>
    <row r="12">
      <c r="A12" s="59" t="inlineStr">
        <is>
          <t>2. By cycle phase  (OPM median split = 7.54%)</t>
        </is>
      </c>
      <c r="B12" s="2" t="n"/>
      <c r="C12" s="2" t="n"/>
      <c r="D12" s="2" t="n"/>
      <c r="E12" s="2" t="n"/>
      <c r="F12" s="2" t="n"/>
      <c r="G12" s="2" t="n"/>
      <c r="H12" s="2" t="n"/>
      <c r="I12" s="2" t="n"/>
      <c r="J12" s="2" t="n"/>
      <c r="K12" s="2" t="n"/>
    </row>
    <row r="13">
      <c r="A13" s="37" t="inlineStr">
        <is>
          <t>Phase</t>
        </is>
      </c>
      <c r="B13" s="37" t="inlineStr">
        <is>
          <t>months</t>
        </is>
      </c>
      <c r="C13" s="37" t="inlineStr">
        <is>
          <t>OPM med %</t>
        </is>
      </c>
      <c r="D13" s="37" t="inlineStr">
        <is>
          <t>P/E p25</t>
        </is>
      </c>
      <c r="E13" s="37" t="inlineStr">
        <is>
          <t>P/E med</t>
        </is>
      </c>
      <c r="F13" s="37" t="inlineStr">
        <is>
          <t>P/E p75</t>
        </is>
      </c>
      <c r="G13" s="37" t="inlineStr">
        <is>
          <t>P/B min</t>
        </is>
      </c>
      <c r="H13" s="37" t="inlineStr">
        <is>
          <t>P/B p25</t>
        </is>
      </c>
      <c r="I13" s="37" t="inlineStr">
        <is>
          <t>P/B med</t>
        </is>
      </c>
      <c r="J13" s="37" t="inlineStr">
        <is>
          <t>P/B p75</t>
        </is>
      </c>
      <c r="K13" s="37" t="inlineStr">
        <is>
          <t>P/B max</t>
        </is>
      </c>
    </row>
    <row r="14">
      <c r="A14" s="2" t="inlineStr">
        <is>
          <t>1 Recovery (低OPM・回升)</t>
        </is>
      </c>
      <c r="B14" s="2" t="n">
        <v>36</v>
      </c>
      <c r="C14" s="30" t="n">
        <v>6.4</v>
      </c>
      <c r="D14" s="30" t="n">
        <v>9.4</v>
      </c>
      <c r="E14" s="30" t="n">
        <v>10.7</v>
      </c>
      <c r="F14" s="30" t="n">
        <v>14</v>
      </c>
      <c r="G14" s="21" t="n">
        <v>0.5600000000000001</v>
      </c>
      <c r="H14" s="21" t="n">
        <v>0.64</v>
      </c>
      <c r="I14" s="21" t="n">
        <v>0.74</v>
      </c>
      <c r="J14" s="21" t="n">
        <v>0.82</v>
      </c>
      <c r="K14" s="21" t="n">
        <v>1.34</v>
      </c>
    </row>
    <row r="15">
      <c r="A15" s="2" t="inlineStr">
        <is>
          <t>2 Expansion (高OPM・上行)</t>
        </is>
      </c>
      <c r="B15" s="2" t="n">
        <v>57</v>
      </c>
      <c r="C15" s="30" t="n">
        <v>9.300000000000001</v>
      </c>
      <c r="D15" s="30" t="n">
        <v>7.9</v>
      </c>
      <c r="E15" s="30" t="n">
        <v>9</v>
      </c>
      <c r="F15" s="30" t="n">
        <v>10.5</v>
      </c>
      <c r="G15" s="21" t="n">
        <v>0.71</v>
      </c>
      <c r="H15" s="21" t="n">
        <v>1.18</v>
      </c>
      <c r="I15" s="21" t="n">
        <v>1.27</v>
      </c>
      <c r="J15" s="21" t="n">
        <v>1.46</v>
      </c>
      <c r="K15" s="21" t="n">
        <v>1.93</v>
      </c>
    </row>
    <row r="16">
      <c r="A16" s="2" t="inlineStr">
        <is>
          <t>3 Early-down (高OPM・转跌)</t>
        </is>
      </c>
      <c r="B16" s="2" t="n">
        <v>39</v>
      </c>
      <c r="C16" s="30" t="n">
        <v>9.300000000000001</v>
      </c>
      <c r="D16" s="30" t="n">
        <v>7.8</v>
      </c>
      <c r="E16" s="30" t="n">
        <v>9.800000000000001</v>
      </c>
      <c r="F16" s="30" t="n">
        <v>12.3</v>
      </c>
      <c r="G16" s="21" t="n">
        <v>0.87</v>
      </c>
      <c r="H16" s="21" t="n">
        <v>1.05</v>
      </c>
      <c r="I16" s="21" t="n">
        <v>1.13</v>
      </c>
      <c r="J16" s="21" t="n">
        <v>1.23</v>
      </c>
      <c r="K16" s="21" t="n">
        <v>1.45</v>
      </c>
    </row>
    <row r="17">
      <c r="A17" s="2" t="inlineStr">
        <is>
          <t>4 Trough (低OPM・下行)</t>
        </is>
      </c>
      <c r="B17" s="2" t="n">
        <v>59</v>
      </c>
      <c r="C17" s="30" t="n">
        <v>2.9</v>
      </c>
      <c r="D17" s="30" t="n">
        <v>10.6</v>
      </c>
      <c r="E17" s="30" t="n">
        <v>13.5</v>
      </c>
      <c r="F17" s="30" t="n">
        <v>33.7</v>
      </c>
      <c r="G17" s="21" t="n">
        <v>0.52</v>
      </c>
      <c r="H17" s="21" t="n">
        <v>0.58</v>
      </c>
      <c r="I17" s="21" t="n">
        <v>0.6899999999999999</v>
      </c>
      <c r="J17" s="21" t="n">
        <v>0.75</v>
      </c>
      <c r="K17" s="21" t="n">
        <v>1.27</v>
      </c>
    </row>
    <row r="18">
      <c r="A18" s="2" t="n"/>
      <c r="B18" s="2" t="n"/>
      <c r="C18" s="2" t="n"/>
      <c r="D18" s="2" t="n"/>
      <c r="E18" s="2" t="n"/>
      <c r="F18" s="2" t="n"/>
      <c r="G18" s="2" t="n"/>
      <c r="H18" s="2" t="n"/>
      <c r="I18" s="2" t="n"/>
      <c r="J18" s="2" t="n"/>
      <c r="K18" s="2" t="n"/>
    </row>
    <row r="19">
      <c r="A19" s="59" t="inlineStr">
        <is>
          <t>3. Cycle extremes (±12M local, PIT). 'prov' = inside the last 12M, no right-hand side yet</t>
        </is>
      </c>
      <c r="B19" s="2" t="n"/>
      <c r="C19" s="2" t="n"/>
      <c r="D19" s="2" t="n"/>
      <c r="E19" s="2" t="n"/>
      <c r="F19" s="2" t="n"/>
      <c r="G19" s="2" t="n"/>
      <c r="H19" s="2" t="n"/>
      <c r="I19" s="2" t="n"/>
      <c r="J19" s="2" t="n"/>
      <c r="K19" s="2" t="n"/>
    </row>
    <row r="20">
      <c r="A20" s="37" t="inlineStr">
        <is>
          <t>Event</t>
        </is>
      </c>
      <c r="B20" s="37" t="inlineStr">
        <is>
          <t>Date</t>
        </is>
      </c>
      <c r="C20" s="37" t="inlineStr">
        <is>
          <t>Price</t>
        </is>
      </c>
      <c r="D20" s="37" t="inlineStr">
        <is>
          <t>TTM OP (億)</t>
        </is>
      </c>
      <c r="E20" s="37" t="inlineStr">
        <is>
          <t>OPM %</t>
        </is>
      </c>
      <c r="F20" s="37" t="inlineStr">
        <is>
          <t>TTM EPS</t>
        </is>
      </c>
      <c r="G20" s="37" t="inlineStr">
        <is>
          <t>BPS</t>
        </is>
      </c>
      <c r="H20" s="37" t="inlineStr">
        <is>
          <t>P/E</t>
        </is>
      </c>
      <c r="I20" s="37" t="inlineStr">
        <is>
          <t>P/B</t>
        </is>
      </c>
      <c r="J20" s="37" t="inlineStr">
        <is>
          <t>confirmed</t>
        </is>
      </c>
      <c r="K20" s="2" t="n"/>
    </row>
    <row r="21">
      <c r="A21" s="2" t="inlineStr">
        <is>
          <t>盈利峰 OP peak</t>
        </is>
      </c>
      <c r="B21" s="2" t="inlineStr">
        <is>
          <t>2010-08</t>
        </is>
      </c>
      <c r="C21" s="15" t="n">
        <v>762</v>
      </c>
      <c r="D21" s="10" t="n">
        <v>497</v>
      </c>
      <c r="E21" s="30" t="n">
        <v>8.6</v>
      </c>
      <c r="F21" s="15" t="n">
        <v>101</v>
      </c>
      <c r="G21" s="15" t="n">
        <v>703</v>
      </c>
      <c r="H21" s="30" t="n">
        <v>7.6</v>
      </c>
      <c r="I21" s="21" t="n">
        <v>1.08</v>
      </c>
      <c r="J21" s="2" t="inlineStr">
        <is>
          <t>yes</t>
        </is>
      </c>
      <c r="K21" s="2" t="n"/>
    </row>
    <row r="22">
      <c r="A22" s="2" t="inlineStr">
        <is>
          <t>盈利峰 OP peak</t>
        </is>
      </c>
      <c r="B22" s="2" t="inlineStr">
        <is>
          <t>2015-02</t>
        </is>
      </c>
      <c r="C22" s="15" t="n">
        <v>2068</v>
      </c>
      <c r="D22" s="10" t="n">
        <v>863</v>
      </c>
      <c r="E22" s="30" t="n">
        <v>10.3</v>
      </c>
      <c r="F22" s="15" t="n">
        <v>203</v>
      </c>
      <c r="G22" s="15" t="n">
        <v>1576</v>
      </c>
      <c r="H22" s="30" t="n">
        <v>10.2</v>
      </c>
      <c r="I22" s="21" t="n">
        <v>1.31</v>
      </c>
      <c r="J22" s="2" t="inlineStr">
        <is>
          <t>yes</t>
        </is>
      </c>
      <c r="K22" s="2" t="n"/>
    </row>
    <row r="23">
      <c r="A23" s="2" t="inlineStr">
        <is>
          <t>盈利峰 OP peak</t>
        </is>
      </c>
      <c r="B23" s="2" t="inlineStr">
        <is>
          <t>2018-08</t>
        </is>
      </c>
      <c r="C23" s="15" t="n">
        <v>1648</v>
      </c>
      <c r="D23" s="10" t="n">
        <v>733</v>
      </c>
      <c r="E23" s="30" t="n">
        <v>8.1</v>
      </c>
      <c r="F23" s="15" t="n">
        <v>190</v>
      </c>
      <c r="G23" s="15" t="n">
        <v>1726</v>
      </c>
      <c r="H23" s="30" t="n">
        <v>8.699999999999999</v>
      </c>
      <c r="I23" s="21" t="n">
        <v>0.95</v>
      </c>
      <c r="J23" s="2" t="inlineStr">
        <is>
          <t>yes</t>
        </is>
      </c>
      <c r="K23" s="2" t="n"/>
    </row>
    <row r="24">
      <c r="A24" s="2" t="inlineStr">
        <is>
          <t>盈利峰 OP peak</t>
        </is>
      </c>
      <c r="B24" s="2" t="inlineStr">
        <is>
          <t>2021-08</t>
        </is>
      </c>
      <c r="C24" s="15" t="n">
        <v>1319</v>
      </c>
      <c r="D24" s="10" t="n">
        <v>703</v>
      </c>
      <c r="E24" s="30" t="n">
        <v>7.9</v>
      </c>
      <c r="F24" s="15" t="n">
        <v>199</v>
      </c>
      <c r="G24" s="15" t="n">
        <v>1856</v>
      </c>
      <c r="H24" s="30" t="n">
        <v>6.6</v>
      </c>
      <c r="I24" s="21" t="n">
        <v>0.71</v>
      </c>
      <c r="J24" s="2" t="inlineStr">
        <is>
          <t>yes</t>
        </is>
      </c>
      <c r="K24" s="2" t="n"/>
    </row>
    <row r="25">
      <c r="A25" s="2" t="inlineStr">
        <is>
          <t>盈利峰 OP peak</t>
        </is>
      </c>
      <c r="B25" s="2" t="inlineStr">
        <is>
          <t>2024-08</t>
        </is>
      </c>
      <c r="C25" s="15" t="n">
        <v>1487</v>
      </c>
      <c r="D25" s="10" t="n">
        <v>896</v>
      </c>
      <c r="E25" s="30" t="n">
        <v>7.4</v>
      </c>
      <c r="F25" s="15" t="n">
        <v>257</v>
      </c>
      <c r="G25" s="15" t="n">
        <v>2651</v>
      </c>
      <c r="H25" s="30" t="n">
        <v>5.8</v>
      </c>
      <c r="I25" s="21" t="n">
        <v>0.5600000000000001</v>
      </c>
      <c r="J25" s="2" t="inlineStr">
        <is>
          <t>yes</t>
        </is>
      </c>
      <c r="K25" s="2" t="n"/>
    </row>
    <row r="26">
      <c r="A26" s="2" t="inlineStr">
        <is>
          <t>盈利峰 OP peak</t>
        </is>
      </c>
      <c r="B26" s="2" t="inlineStr">
        <is>
          <t>2026-08</t>
        </is>
      </c>
      <c r="C26" s="15" t="n">
        <v>2245</v>
      </c>
      <c r="D26" s="10" t="n">
        <v>937</v>
      </c>
      <c r="E26" s="30" t="n">
        <v>7.5</v>
      </c>
      <c r="F26" s="15" t="n">
        <v>235</v>
      </c>
      <c r="G26" s="15" t="n">
        <v>2870</v>
      </c>
      <c r="H26" s="30" t="n">
        <v>9.5</v>
      </c>
      <c r="I26" s="21" t="n">
        <v>0.78</v>
      </c>
      <c r="J26" s="2" t="inlineStr">
        <is>
          <t>prov</t>
        </is>
      </c>
      <c r="K26" s="2" t="n"/>
    </row>
    <row r="27">
      <c r="A27" s="2" t="n"/>
      <c r="B27" s="2" t="n"/>
      <c r="C27" s="2" t="n"/>
      <c r="D27" s="2" t="n"/>
      <c r="E27" s="2" t="n"/>
      <c r="F27" s="2" t="n"/>
      <c r="G27" s="2" t="n"/>
      <c r="H27" s="2" t="n"/>
      <c r="I27" s="2" t="n"/>
      <c r="J27" s="2" t="n"/>
      <c r="K27" s="2" t="n"/>
    </row>
    <row r="28">
      <c r="A28" s="2" t="inlineStr">
        <is>
          <t>盈利谷 OP trough</t>
        </is>
      </c>
      <c r="B28" s="2" t="inlineStr">
        <is>
          <t>2010-02</t>
        </is>
      </c>
      <c r="C28" s="15" t="n">
        <v>724</v>
      </c>
      <c r="D28" s="10" t="n">
        <v>287</v>
      </c>
      <c r="E28" s="30" t="n">
        <v>5.5</v>
      </c>
      <c r="F28" s="15" t="n">
        <v>35</v>
      </c>
      <c r="G28" s="15" t="n">
        <v>713</v>
      </c>
      <c r="H28" s="30" t="n">
        <v>20.9</v>
      </c>
      <c r="I28" s="21" t="n">
        <v>1.02</v>
      </c>
      <c r="J28" s="2" t="inlineStr">
        <is>
          <t>yes</t>
        </is>
      </c>
      <c r="K28" s="2" t="n"/>
    </row>
    <row r="29">
      <c r="A29" s="2" t="inlineStr">
        <is>
          <t>盈利谷 OP trough</t>
        </is>
      </c>
      <c r="B29" s="2" t="inlineStr">
        <is>
          <t>2011-08</t>
        </is>
      </c>
      <c r="C29" s="15" t="n">
        <v>962</v>
      </c>
      <c r="D29" s="10" t="n">
        <v>470</v>
      </c>
      <c r="E29" s="30" t="n">
        <v>7.5</v>
      </c>
      <c r="F29" s="15" t="n">
        <v>76</v>
      </c>
      <c r="G29" s="15" t="n">
        <v>723</v>
      </c>
      <c r="H29" s="30" t="n">
        <v>12.7</v>
      </c>
      <c r="I29" s="21" t="n">
        <v>1.33</v>
      </c>
      <c r="J29" s="2" t="inlineStr">
        <is>
          <t>yes</t>
        </is>
      </c>
      <c r="K29" s="2" t="n"/>
    </row>
    <row r="30">
      <c r="A30" s="2" t="inlineStr">
        <is>
          <t>盈利谷 OP trough</t>
        </is>
      </c>
      <c r="B30" s="2" t="inlineStr">
        <is>
          <t>2017-11</t>
        </is>
      </c>
      <c r="C30" s="15" t="n">
        <v>2040</v>
      </c>
      <c r="D30" s="10" t="n">
        <v>608</v>
      </c>
      <c r="E30" s="30" t="n">
        <v>7.5</v>
      </c>
      <c r="F30" s="15" t="n">
        <v>79</v>
      </c>
      <c r="G30" s="15" t="n">
        <v>1666</v>
      </c>
      <c r="H30" s="30" t="n">
        <v>25.8</v>
      </c>
      <c r="I30" s="21" t="n">
        <v>1.22</v>
      </c>
      <c r="J30" s="2" t="inlineStr">
        <is>
          <t>yes</t>
        </is>
      </c>
      <c r="K30" s="2" t="n"/>
    </row>
    <row r="31">
      <c r="A31" s="2" t="inlineStr">
        <is>
          <t>盈利谷 OP trough</t>
        </is>
      </c>
      <c r="B31" s="2" t="inlineStr">
        <is>
          <t>2020-08</t>
        </is>
      </c>
      <c r="C31" s="15" t="n">
        <v>1021</v>
      </c>
      <c r="D31" s="10" t="n">
        <v>136</v>
      </c>
      <c r="E31" s="30" t="n">
        <v>1.7</v>
      </c>
      <c r="F31" s="15" t="n">
        <v>-14</v>
      </c>
      <c r="G31" s="15" t="n">
        <v>1587</v>
      </c>
      <c r="H31" s="30" t="n">
        <v/>
      </c>
      <c r="I31" s="21" t="n">
        <v>0.64</v>
      </c>
      <c r="J31" s="2" t="inlineStr">
        <is>
          <t>yes</t>
        </is>
      </c>
      <c r="K31" s="2" t="n"/>
    </row>
    <row r="32">
      <c r="A32" s="2" t="inlineStr">
        <is>
          <t>盈利谷 OP trough</t>
        </is>
      </c>
      <c r="B32" s="2" t="inlineStr">
        <is>
          <t>2023-05</t>
        </is>
      </c>
      <c r="C32" s="15" t="n">
        <v>1232</v>
      </c>
      <c r="D32" s="10" t="n">
        <v>86</v>
      </c>
      <c r="E32" s="30" t="n">
        <v>0.8</v>
      </c>
      <c r="F32" s="15" t="n">
        <v>6</v>
      </c>
      <c r="G32" s="15" t="n">
        <v>2114</v>
      </c>
      <c r="H32" s="30" t="n">
        <v>194.4</v>
      </c>
      <c r="I32" s="21" t="n">
        <v>0.58</v>
      </c>
      <c r="J32" s="2" t="inlineStr">
        <is>
          <t>yes</t>
        </is>
      </c>
      <c r="K32" s="2" t="n"/>
    </row>
    <row r="33">
      <c r="A33" s="2" t="inlineStr">
        <is>
          <t>盈利谷 OP trough</t>
        </is>
      </c>
      <c r="B33" s="2" t="inlineStr">
        <is>
          <t>2025-08</t>
        </is>
      </c>
      <c r="C33" s="15" t="n">
        <v>1740</v>
      </c>
      <c r="D33" s="10" t="n">
        <v>-37</v>
      </c>
      <c r="E33" s="30" t="n">
        <v>-0.3</v>
      </c>
      <c r="F33" s="15" t="n">
        <v>-55</v>
      </c>
      <c r="G33" s="15" t="n">
        <v>2441</v>
      </c>
      <c r="H33" s="30" t="n">
        <v/>
      </c>
      <c r="I33" s="21" t="n">
        <v>0.71</v>
      </c>
      <c r="J33" s="2" t="inlineStr">
        <is>
          <t>yes</t>
        </is>
      </c>
      <c r="K33" s="2" t="n"/>
    </row>
    <row r="34">
      <c r="A34" s="2" t="n"/>
      <c r="B34" s="2" t="n"/>
      <c r="C34" s="2" t="n"/>
      <c r="D34" s="2" t="n"/>
      <c r="E34" s="2" t="n"/>
      <c r="F34" s="2" t="n"/>
      <c r="G34" s="2" t="n"/>
      <c r="H34" s="2" t="n"/>
      <c r="I34" s="2" t="n"/>
      <c r="J34" s="2" t="n"/>
      <c r="K34" s="2" t="n"/>
    </row>
    <row r="35">
      <c r="A35" s="2" t="inlineStr">
        <is>
          <t>股价顶 Price top</t>
        </is>
      </c>
      <c r="B35" s="2" t="inlineStr">
        <is>
          <t>2013-04</t>
        </is>
      </c>
      <c r="C35" s="15" t="n">
        <v>1797</v>
      </c>
      <c r="D35" s="10" t="n">
        <v>697</v>
      </c>
      <c r="E35" s="30" t="n">
        <v>9.800000000000001</v>
      </c>
      <c r="F35" s="15" t="n">
        <v>135</v>
      </c>
      <c r="G35" s="15" t="n">
        <v>931</v>
      </c>
      <c r="H35" s="30" t="n">
        <v>13.3</v>
      </c>
      <c r="I35" s="21" t="n">
        <v>1.93</v>
      </c>
      <c r="J35" s="2" t="inlineStr">
        <is>
          <t>yes</t>
        </is>
      </c>
      <c r="K35" s="2" t="n"/>
    </row>
    <row r="36">
      <c r="A36" s="2" t="inlineStr">
        <is>
          <t>股价顶 Price top</t>
        </is>
      </c>
      <c r="B36" s="2" t="inlineStr">
        <is>
          <t>2015-04</t>
        </is>
      </c>
      <c r="C36" s="15" t="n">
        <v>2221</v>
      </c>
      <c r="D36" s="10" t="n">
        <v>863</v>
      </c>
      <c r="E36" s="30" t="n">
        <v>10.3</v>
      </c>
      <c r="F36" s="15" t="n">
        <v>203</v>
      </c>
      <c r="G36" s="15" t="n">
        <v>1576</v>
      </c>
      <c r="H36" s="30" t="n">
        <v>11</v>
      </c>
      <c r="I36" s="21" t="n">
        <v>1.41</v>
      </c>
      <c r="J36" s="2" t="inlineStr">
        <is>
          <t>yes</t>
        </is>
      </c>
      <c r="K36" s="2" t="n"/>
    </row>
    <row r="37">
      <c r="A37" s="2" t="inlineStr">
        <is>
          <t>股价顶 Price top</t>
        </is>
      </c>
      <c r="B37" s="2" t="inlineStr">
        <is>
          <t>2017-10</t>
        </is>
      </c>
      <c r="C37" s="15" t="n">
        <v>2144</v>
      </c>
      <c r="D37" s="10" t="n">
        <v>637</v>
      </c>
      <c r="E37" s="30" t="n">
        <v>8.1</v>
      </c>
      <c r="F37" s="15" t="n">
        <v>98</v>
      </c>
      <c r="G37" s="15" t="n">
        <v>1639</v>
      </c>
      <c r="H37" s="30" t="n">
        <v>21.9</v>
      </c>
      <c r="I37" s="21" t="n">
        <v>1.31</v>
      </c>
      <c r="J37" s="2" t="inlineStr">
        <is>
          <t>yes</t>
        </is>
      </c>
      <c r="K37" s="2" t="n"/>
    </row>
    <row r="38">
      <c r="A38" s="2" t="inlineStr">
        <is>
          <t>股价顶 Price top</t>
        </is>
      </c>
      <c r="B38" s="2" t="inlineStr">
        <is>
          <t>2021-06</t>
        </is>
      </c>
      <c r="C38" s="15" t="n">
        <v>1533</v>
      </c>
      <c r="D38" s="10" t="n">
        <v>515</v>
      </c>
      <c r="E38" s="30" t="n">
        <v>6.3</v>
      </c>
      <c r="F38" s="15" t="n">
        <v>139</v>
      </c>
      <c r="G38" s="15" t="n">
        <v>1802</v>
      </c>
      <c r="H38" s="30" t="n">
        <v>11</v>
      </c>
      <c r="I38" s="21" t="n">
        <v>0.85</v>
      </c>
      <c r="J38" s="2" t="inlineStr">
        <is>
          <t>yes</t>
        </is>
      </c>
      <c r="K38" s="2" t="n"/>
    </row>
    <row r="39">
      <c r="A39" s="2" t="inlineStr">
        <is>
          <t>股价顶 Price top</t>
        </is>
      </c>
      <c r="B39" s="2" t="inlineStr">
        <is>
          <t>2024-04</t>
        </is>
      </c>
      <c r="C39" s="15" t="n">
        <v>1913</v>
      </c>
      <c r="D39" s="10" t="n">
        <v>645</v>
      </c>
      <c r="E39" s="30" t="n">
        <v>5.5</v>
      </c>
      <c r="F39" s="15" t="n">
        <v>141</v>
      </c>
      <c r="G39" s="15" t="n">
        <v>2373</v>
      </c>
      <c r="H39" s="30" t="n">
        <v>13.6</v>
      </c>
      <c r="I39" s="21" t="n">
        <v>0.8100000000000001</v>
      </c>
      <c r="J39" s="2" t="inlineStr">
        <is>
          <t>yes</t>
        </is>
      </c>
      <c r="K39" s="2" t="n"/>
    </row>
    <row r="40">
      <c r="A40" s="2" t="inlineStr">
        <is>
          <t>股价顶 Price top</t>
        </is>
      </c>
      <c r="B40" s="2" t="inlineStr">
        <is>
          <t>2026-02</t>
        </is>
      </c>
      <c r="C40" s="15" t="n">
        <v>2781</v>
      </c>
      <c r="D40" s="10" t="n">
        <v>826</v>
      </c>
      <c r="E40" s="30" t="n">
        <v>6.8</v>
      </c>
      <c r="F40" s="15" t="n">
        <v>192</v>
      </c>
      <c r="G40" s="15" t="n">
        <v>2724</v>
      </c>
      <c r="H40" s="30" t="n">
        <v>14.5</v>
      </c>
      <c r="I40" s="21" t="n">
        <v>1.02</v>
      </c>
      <c r="J40" s="2" t="inlineStr">
        <is>
          <t>prov</t>
        </is>
      </c>
      <c r="K40" s="2" t="n"/>
    </row>
    <row r="41">
      <c r="A41" s="2" t="n"/>
      <c r="B41" s="2" t="n"/>
      <c r="C41" s="2" t="n"/>
      <c r="D41" s="2" t="n"/>
      <c r="E41" s="2" t="n"/>
      <c r="F41" s="2" t="n"/>
      <c r="G41" s="2" t="n"/>
      <c r="H41" s="2" t="n"/>
      <c r="I41" s="2" t="n"/>
      <c r="J41" s="2" t="n"/>
      <c r="K41" s="2" t="n"/>
    </row>
    <row r="42">
      <c r="A42" s="2" t="inlineStr">
        <is>
          <t>股价底 Price bottom</t>
        </is>
      </c>
      <c r="B42" s="2" t="inlineStr">
        <is>
          <t>2009-11</t>
        </is>
      </c>
      <c r="C42" s="15" t="n">
        <v>679</v>
      </c>
      <c r="D42" s="10" t="n">
        <v>355</v>
      </c>
      <c r="E42" s="30" t="n">
        <v>3.7</v>
      </c>
      <c r="F42" s="15" t="n">
        <v>-4</v>
      </c>
      <c r="G42" s="15" t="n">
        <v>672</v>
      </c>
      <c r="H42" s="30" t="n">
        <v/>
      </c>
      <c r="I42" s="21" t="n">
        <v>1.01</v>
      </c>
      <c r="J42" s="2" t="inlineStr">
        <is>
          <t>yes</t>
        </is>
      </c>
      <c r="K42" s="2" t="n"/>
    </row>
    <row r="43">
      <c r="A43" s="2" t="inlineStr">
        <is>
          <t>股价底 Price bottom</t>
        </is>
      </c>
      <c r="B43" s="2" t="inlineStr">
        <is>
          <t>2014-03</t>
        </is>
      </c>
      <c r="C43" s="15" t="n">
        <v>1314</v>
      </c>
      <c r="D43" s="10" t="n">
        <v>771</v>
      </c>
      <c r="E43" s="30" t="n">
        <v>9.9</v>
      </c>
      <c r="F43" s="15" t="n">
        <v>171</v>
      </c>
      <c r="G43" s="15" t="n">
        <v>1257</v>
      </c>
      <c r="H43" s="30" t="n">
        <v>7.7</v>
      </c>
      <c r="I43" s="21" t="n">
        <v>1.05</v>
      </c>
      <c r="J43" s="2" t="inlineStr">
        <is>
          <t>yes</t>
        </is>
      </c>
      <c r="K43" s="2" t="n"/>
    </row>
    <row r="44">
      <c r="A44" s="2" t="inlineStr">
        <is>
          <t>股价底 Price bottom</t>
        </is>
      </c>
      <c r="B44" s="2" t="inlineStr">
        <is>
          <t>2016-06</t>
        </is>
      </c>
      <c r="C44" s="15" t="n">
        <v>1363</v>
      </c>
      <c r="D44" s="10" t="n">
        <v>786</v>
      </c>
      <c r="E44" s="30" t="n">
        <v>9.300000000000001</v>
      </c>
      <c r="F44" s="15" t="n">
        <v>247</v>
      </c>
      <c r="G44" s="15" t="n">
        <v>1559</v>
      </c>
      <c r="H44" s="30" t="n">
        <v>5.5</v>
      </c>
      <c r="I44" s="21" t="n">
        <v>0.87</v>
      </c>
      <c r="J44" s="2" t="inlineStr">
        <is>
          <t>yes</t>
        </is>
      </c>
      <c r="K44" s="2" t="n"/>
    </row>
    <row r="45">
      <c r="A45" s="2" t="inlineStr">
        <is>
          <t>股价底 Price bottom</t>
        </is>
      </c>
      <c r="B45" s="2" t="inlineStr">
        <is>
          <t>2020-07</t>
        </is>
      </c>
      <c r="C45" s="15" t="n">
        <v>876</v>
      </c>
      <c r="D45" s="10" t="n">
        <v>298</v>
      </c>
      <c r="E45" s="30" t="n">
        <v>3.4</v>
      </c>
      <c r="F45" s="15" t="n">
        <v>22</v>
      </c>
      <c r="G45" s="15" t="n">
        <v>1602</v>
      </c>
      <c r="H45" s="30" t="n">
        <v>39.6</v>
      </c>
      <c r="I45" s="21" t="n">
        <v>0.55</v>
      </c>
      <c r="J45" s="2" t="inlineStr">
        <is>
          <t>yes</t>
        </is>
      </c>
      <c r="K45" s="2" t="n"/>
    </row>
    <row r="46">
      <c r="A46" s="2" t="inlineStr">
        <is>
          <t>股价底 Price bottom</t>
        </is>
      </c>
      <c r="B46" s="2" t="inlineStr">
        <is>
          <t>2022-02</t>
        </is>
      </c>
      <c r="C46" s="15" t="n">
        <v>1111</v>
      </c>
      <c r="D46" s="10" t="n">
        <v>492</v>
      </c>
      <c r="E46" s="30" t="n">
        <v>5.3</v>
      </c>
      <c r="F46" s="15" t="n">
        <v>112</v>
      </c>
      <c r="G46" s="15" t="n">
        <v>1907</v>
      </c>
      <c r="H46" s="30" t="n">
        <v>9.9</v>
      </c>
      <c r="I46" s="21" t="n">
        <v>0.58</v>
      </c>
      <c r="J46" s="2" t="inlineStr">
        <is>
          <t>yes</t>
        </is>
      </c>
      <c r="K46" s="2" t="n"/>
    </row>
    <row r="47">
      <c r="A47" s="2" t="inlineStr">
        <is>
          <t>股价底 Price bottom</t>
        </is>
      </c>
      <c r="B47" s="2" t="inlineStr">
        <is>
          <t>2024-08</t>
        </is>
      </c>
      <c r="C47" s="15" t="n">
        <v>1487</v>
      </c>
      <c r="D47" s="10" t="n">
        <v>896</v>
      </c>
      <c r="E47" s="30" t="n">
        <v>7.4</v>
      </c>
      <c r="F47" s="15" t="n">
        <v>257</v>
      </c>
      <c r="G47" s="15" t="n">
        <v>2651</v>
      </c>
      <c r="H47" s="30" t="n">
        <v>5.8</v>
      </c>
      <c r="I47" s="21" t="n">
        <v>0.5600000000000001</v>
      </c>
      <c r="J47" s="2" t="inlineStr">
        <is>
          <t>yes</t>
        </is>
      </c>
      <c r="K47" s="2" t="n"/>
    </row>
    <row r="48">
      <c r="A48" s="2" t="n"/>
      <c r="B48" s="2" t="n"/>
      <c r="C48" s="2" t="n"/>
      <c r="D48" s="2" t="n"/>
      <c r="E48" s="2" t="n"/>
      <c r="F48" s="2" t="n"/>
      <c r="G48" s="2" t="n"/>
      <c r="H48" s="2" t="n"/>
      <c r="I48" s="2" t="n"/>
      <c r="J48" s="2" t="n"/>
      <c r="K48" s="2" t="n"/>
    </row>
    <row r="49">
      <c r="A49" s="59" t="inlineStr">
        <is>
          <t>4. Current reading</t>
        </is>
      </c>
      <c r="B49" s="2" t="n"/>
      <c r="C49" s="2" t="n"/>
      <c r="D49" s="2" t="n"/>
      <c r="E49" s="2" t="n"/>
      <c r="F49" s="2" t="n"/>
      <c r="G49" s="2" t="n"/>
      <c r="H49" s="2" t="n"/>
      <c r="I49" s="2" t="n"/>
      <c r="J49" s="2" t="n"/>
      <c r="K49" s="2" t="n"/>
    </row>
    <row r="50">
      <c r="A50" s="3" t="inlineStr">
        <is>
          <t>As of</t>
        </is>
      </c>
      <c r="B50" s="2" t="inlineStr">
        <is>
          <t>2026-09-28</t>
        </is>
      </c>
      <c r="C50" s="2" t="n"/>
      <c r="D50" s="2" t="n"/>
      <c r="E50" s="2" t="n"/>
      <c r="F50" s="2" t="n"/>
      <c r="G50" s="2" t="n"/>
      <c r="H50" s="2" t="n"/>
      <c r="I50" s="2" t="n"/>
      <c r="J50" s="2" t="n"/>
      <c r="K50" s="2" t="n"/>
    </row>
    <row r="51">
      <c r="A51" s="3" t="inlineStr">
        <is>
          <t>Price (¥)</t>
        </is>
      </c>
      <c r="B51" s="15" t="n">
        <v>2020</v>
      </c>
      <c r="C51" s="2" t="n"/>
      <c r="D51" s="2" t="n"/>
      <c r="E51" s="2" t="n"/>
      <c r="F51" s="2" t="n"/>
      <c r="G51" s="2" t="n"/>
      <c r="H51" s="2" t="n"/>
      <c r="I51" s="2" t="n"/>
      <c r="J51" s="2" t="n"/>
      <c r="K51" s="2" t="n"/>
    </row>
    <row r="52">
      <c r="A52" s="3" t="inlineStr">
        <is>
          <t>TTM EPS (¥)</t>
        </is>
      </c>
      <c r="B52" s="15" t="n">
        <v>235</v>
      </c>
      <c r="C52" s="2" t="n"/>
      <c r="D52" s="2" t="n"/>
      <c r="E52" s="2" t="n"/>
      <c r="F52" s="2" t="n"/>
      <c r="G52" s="2" t="n"/>
      <c r="H52" s="2" t="n"/>
      <c r="I52" s="2" t="n"/>
      <c r="J52" s="2" t="n"/>
      <c r="K52" s="2" t="n"/>
    </row>
    <row r="53">
      <c r="A53" s="3" t="inlineStr">
        <is>
          <t>BPS (¥)</t>
        </is>
      </c>
      <c r="B53" s="15" t="n">
        <v>2870</v>
      </c>
      <c r="C53" s="2" t="n"/>
      <c r="D53" s="2" t="n"/>
      <c r="E53" s="2" t="n"/>
      <c r="F53" s="2" t="n"/>
      <c r="G53" s="2" t="n"/>
      <c r="H53" s="2" t="n"/>
      <c r="I53" s="2" t="n"/>
      <c r="J53" s="2" t="n"/>
      <c r="K53" s="2" t="n"/>
    </row>
    <row r="54">
      <c r="A54" s="3" t="inlineStr">
        <is>
          <t>TTM OPM %</t>
        </is>
      </c>
      <c r="B54" s="30" t="n">
        <v>7.5</v>
      </c>
      <c r="C54" s="2" t="n"/>
      <c r="D54" s="2" t="n"/>
      <c r="E54" s="2" t="n"/>
      <c r="F54" s="2" t="n"/>
      <c r="G54" s="2" t="n"/>
      <c r="H54" s="2" t="n"/>
      <c r="I54" s="2" t="n"/>
      <c r="J54" s="2" t="n"/>
      <c r="K54" s="2" t="n"/>
    </row>
    <row r="55">
      <c r="A55" s="3" t="inlineStr">
        <is>
          <t>TTM OP YoY %</t>
        </is>
      </c>
      <c r="B55" s="30" t="n">
        <v>-2611.3</v>
      </c>
      <c r="C55" s="2" t="n"/>
      <c r="D55" s="2" t="n"/>
      <c r="E55" s="2" t="n"/>
      <c r="F55" s="2" t="n"/>
      <c r="G55" s="2" t="n"/>
      <c r="H55" s="2" t="n"/>
      <c r="I55" s="2" t="n"/>
      <c r="J55" s="2" t="n"/>
      <c r="K55" s="2" t="n"/>
    </row>
    <row r="56">
      <c r="A56" s="3" t="inlineStr">
        <is>
          <t>P/E</t>
        </is>
      </c>
      <c r="B56" s="30" t="n">
        <v>8.6</v>
      </c>
      <c r="C56" s="2" t="n"/>
      <c r="D56" s="2" t="n"/>
      <c r="E56" s="2" t="n"/>
      <c r="F56" s="2" t="n"/>
      <c r="G56" s="2" t="n"/>
      <c r="H56" s="2" t="n"/>
      <c r="I56" s="2" t="n"/>
      <c r="J56" s="2" t="n"/>
      <c r="K56" s="2" t="n"/>
    </row>
    <row r="57">
      <c r="A57" s="3" t="inlineStr">
        <is>
          <t>P/B</t>
        </is>
      </c>
      <c r="B57" s="21" t="n">
        <v>0.7</v>
      </c>
      <c r="C57" s="2" t="n"/>
      <c r="D57" s="2" t="n"/>
      <c r="E57" s="2" t="n"/>
      <c r="F57" s="2" t="n"/>
      <c r="G57" s="2" t="n"/>
      <c r="H57" s="2" t="n"/>
      <c r="I57" s="2" t="n"/>
      <c r="J57" s="2" t="n"/>
      <c r="K57" s="2" t="n"/>
    </row>
    <row r="58">
      <c r="A58" s="3" t="inlineStr">
        <is>
          <t>Phase (mechanical)</t>
        </is>
      </c>
      <c r="B58" s="2" t="inlineStr">
        <is>
          <t>4 Trough (低OPM・下行)</t>
        </is>
      </c>
      <c r="C58" s="2" t="n"/>
      <c r="D58" s="2" t="n"/>
      <c r="E58" s="2" t="n"/>
      <c r="F58" s="2" t="n"/>
      <c r="G58" s="2" t="n"/>
      <c r="H58" s="2" t="n"/>
      <c r="I58" s="2" t="n"/>
      <c r="J58" s="2" t="n"/>
      <c r="K58" s="2" t="n"/>
    </row>
    <row r="59">
      <c r="A59" s="2" t="n"/>
      <c r="B59" s="2" t="n"/>
      <c r="C59" s="2" t="n"/>
      <c r="D59" s="2" t="n"/>
      <c r="E59" s="2" t="n"/>
      <c r="F59" s="2" t="n"/>
      <c r="G59" s="2" t="n"/>
      <c r="H59" s="2" t="n"/>
      <c r="I59" s="2" t="n"/>
      <c r="J59" s="2" t="n"/>
      <c r="K59" s="2" t="n"/>
    </row>
    <row r="60">
      <c r="A60" s="59" t="inlineStr">
        <is>
          <t>5. ONE-YEAR-FORWARD price = band × model NTM EPS / NTM BPS (live off Valuation). NOT a fair value today: the bands above are measured on TRAILING EPS/BPS, so applying them to NTM figures prices the stock 12M out AT THAT MULTIPLE. Band × CURRENT TTM EPS/BPS is the today-fair-value read.</t>
        </is>
      </c>
      <c r="B60" s="2" t="n"/>
      <c r="C60" s="2" t="n"/>
      <c r="D60" s="2" t="n"/>
      <c r="E60" s="2" t="n"/>
      <c r="F60" s="2" t="n"/>
      <c r="G60" s="2" t="n"/>
      <c r="H60" s="2" t="n"/>
      <c r="I60" s="2" t="n"/>
      <c r="J60" s="2" t="n"/>
      <c r="K60" s="2" t="n"/>
    </row>
    <row r="61">
      <c r="A61" s="2" t="inlineStr">
        <is>
          <t>NTM EPS (¥) — Valuation!B32</t>
        </is>
      </c>
      <c r="B61" s="16">
        <f>Valuation!B32</f>
        <v/>
      </c>
      <c r="C61" s="2" t="n"/>
      <c r="D61" s="2" t="n"/>
      <c r="E61" s="2" t="n"/>
      <c r="F61" s="2" t="n"/>
      <c r="G61" s="2" t="n"/>
      <c r="H61" s="2" t="n"/>
      <c r="I61" s="2" t="n"/>
      <c r="J61" s="2" t="n"/>
      <c r="K61" s="2" t="n"/>
    </row>
    <row r="62">
      <c r="A62" s="2" t="inlineStr">
        <is>
          <t>NTM BPS (¥) — Valuation!B45</t>
        </is>
      </c>
      <c r="B62" s="16">
        <f>Valuation!B45</f>
        <v/>
      </c>
      <c r="C62" s="2" t="n"/>
      <c r="D62" s="2" t="n"/>
      <c r="E62" s="2" t="n"/>
      <c r="F62" s="2" t="n"/>
      <c r="G62" s="2" t="n"/>
      <c r="H62" s="2" t="n"/>
      <c r="I62" s="2" t="n"/>
      <c r="J62" s="2" t="n"/>
      <c r="K62" s="2" t="n"/>
    </row>
    <row r="63">
      <c r="A63" s="2" t="n"/>
      <c r="B63" s="2" t="n"/>
      <c r="C63" s="2" t="n"/>
      <c r="D63" s="2" t="n"/>
      <c r="E63" s="2" t="n"/>
      <c r="F63" s="2" t="n"/>
      <c r="G63" s="2" t="n"/>
      <c r="H63" s="2" t="n"/>
      <c r="I63" s="2" t="n"/>
      <c r="J63" s="2" t="n"/>
      <c r="K63" s="2" t="n"/>
    </row>
    <row r="64">
      <c r="A64" s="37" t="inlineStr">
        <is>
          <t>Band</t>
        </is>
      </c>
      <c r="B64" s="37" t="inlineStr">
        <is>
          <t>P/E x</t>
        </is>
      </c>
      <c r="C64" s="37" t="inlineStr">
        <is>
          <t>→ price</t>
        </is>
      </c>
      <c r="D64" s="37" t="inlineStr">
        <is>
          <t>P/B x</t>
        </is>
      </c>
      <c r="E64" s="37" t="inlineStr">
        <is>
          <t>→ price</t>
        </is>
      </c>
      <c r="F64" s="2" t="n"/>
      <c r="G64" s="2" t="n"/>
      <c r="H64" s="2" t="n"/>
      <c r="I64" s="2" t="n"/>
      <c r="J64" s="2" t="n"/>
      <c r="K64" s="2" t="n"/>
    </row>
    <row r="65">
      <c r="A65" s="2" t="inlineStr">
        <is>
          <t>Full-history p25</t>
        </is>
      </c>
      <c r="B65" s="21" t="n">
        <v>8.460000000000001</v>
      </c>
      <c r="C65" s="26">
        <f>B65*$B$61</f>
        <v/>
      </c>
      <c r="D65" s="21" t="n">
        <v>0.71</v>
      </c>
      <c r="E65" s="26">
        <f>D65*$B$62</f>
        <v/>
      </c>
      <c r="F65" s="2" t="n"/>
      <c r="G65" s="2" t="n"/>
      <c r="H65" s="2" t="n"/>
      <c r="I65" s="2" t="n"/>
      <c r="J65" s="2" t="n"/>
      <c r="K65" s="2" t="n"/>
    </row>
    <row r="66">
      <c r="A66" s="2" t="inlineStr">
        <is>
          <t>Full-history median</t>
        </is>
      </c>
      <c r="B66" s="21" t="n">
        <v>10.28</v>
      </c>
      <c r="C66" s="26">
        <f>B66*$B$61</f>
        <v/>
      </c>
      <c r="D66" s="21" t="n">
        <v>1.01</v>
      </c>
      <c r="E66" s="26">
        <f>D66*$B$62</f>
        <v/>
      </c>
      <c r="F66" s="2" t="n"/>
      <c r="G66" s="2" t="n"/>
      <c r="H66" s="2" t="n"/>
      <c r="I66" s="2" t="n"/>
      <c r="J66" s="2" t="n"/>
      <c r="K66" s="2" t="n"/>
    </row>
    <row r="67">
      <c r="A67" s="2" t="inlineStr">
        <is>
          <t>Full-history p75</t>
        </is>
      </c>
      <c r="B67" s="21" t="n">
        <v>13.12</v>
      </c>
      <c r="C67" s="26">
        <f>B67*$B$61</f>
        <v/>
      </c>
      <c r="D67" s="21" t="n">
        <v>1.23</v>
      </c>
      <c r="E67" s="26">
        <f>D67*$B$62</f>
        <v/>
      </c>
      <c r="F67" s="2" t="n"/>
      <c r="G67" s="2" t="n"/>
      <c r="H67" s="2" t="n"/>
      <c r="I67" s="2" t="n"/>
      <c r="J67" s="2" t="n"/>
      <c r="K67" s="2" t="n"/>
    </row>
    <row r="68">
      <c r="A68" s="2" t="inlineStr">
        <is>
          <t>Full-history p90</t>
        </is>
      </c>
      <c r="B68" s="21" t="n">
        <v>23.61</v>
      </c>
      <c r="C68" s="26">
        <f>B68*$B$61</f>
        <v/>
      </c>
      <c r="D68" s="21" t="n">
        <v>1.37</v>
      </c>
      <c r="E68" s="26">
        <f>D68*$B$62</f>
        <v/>
      </c>
      <c r="F68" s="2" t="n"/>
      <c r="G68" s="2" t="n"/>
      <c r="H68" s="2" t="n"/>
      <c r="I68" s="2" t="n"/>
      <c r="J68" s="2" t="n"/>
      <c r="K68" s="2" t="n"/>
    </row>
    <row r="69">
      <c r="A69" s="2" t="inlineStr">
        <is>
          <t>1 Recovery (低OPM・回升) median</t>
        </is>
      </c>
      <c r="B69" s="21" t="n">
        <v>10.68</v>
      </c>
      <c r="C69" s="26">
        <f>B69*$B$61</f>
        <v/>
      </c>
      <c r="D69" s="21" t="n">
        <v>0.74</v>
      </c>
      <c r="E69" s="26">
        <f>D69*$B$62</f>
        <v/>
      </c>
      <c r="F69" s="2" t="n"/>
      <c r="G69" s="2" t="n"/>
      <c r="H69" s="2" t="n"/>
      <c r="I69" s="2" t="n"/>
      <c r="J69" s="2" t="n"/>
      <c r="K69" s="2" t="n"/>
    </row>
    <row r="70">
      <c r="A70" s="2" t="inlineStr">
        <is>
          <t>2 Expansion (高OPM・上行) median</t>
        </is>
      </c>
      <c r="B70" s="21" t="n">
        <v>8.99</v>
      </c>
      <c r="C70" s="26">
        <f>B70*$B$61</f>
        <v/>
      </c>
      <c r="D70" s="21" t="n">
        <v>1.27</v>
      </c>
      <c r="E70" s="26">
        <f>D70*$B$62</f>
        <v/>
      </c>
      <c r="F70" s="2" t="n"/>
      <c r="G70" s="2" t="n"/>
      <c r="H70" s="2" t="n"/>
      <c r="I70" s="2" t="n"/>
      <c r="J70" s="2" t="n"/>
      <c r="K70" s="2" t="n"/>
    </row>
    <row r="71">
      <c r="A71" s="2" t="inlineStr">
        <is>
          <t>3 Early-down (高OPM・转跌) median</t>
        </is>
      </c>
      <c r="B71" s="21" t="n">
        <v>9.81</v>
      </c>
      <c r="C71" s="26">
        <f>B71*$B$61</f>
        <v/>
      </c>
      <c r="D71" s="21" t="n">
        <v>1.13</v>
      </c>
      <c r="E71" s="26">
        <f>D71*$B$62</f>
        <v/>
      </c>
      <c r="F71" s="2" t="n"/>
      <c r="G71" s="2" t="n"/>
      <c r="H71" s="2" t="n"/>
      <c r="I71" s="2" t="n"/>
      <c r="J71" s="2" t="n"/>
      <c r="K71" s="2" t="n"/>
    </row>
    <row r="72">
      <c r="A72" s="2" t="inlineStr">
        <is>
          <t>4 Trough (低OPM・下行) median</t>
        </is>
      </c>
      <c r="B72" s="21" t="n">
        <v>13.45</v>
      </c>
      <c r="C72" s="26">
        <f>B72*$B$61</f>
        <v/>
      </c>
      <c r="D72" s="21" t="n">
        <v>0.6899999999999999</v>
      </c>
      <c r="E72" s="26">
        <f>D72*$B$62</f>
        <v/>
      </c>
      <c r="F72" s="2" t="n"/>
      <c r="G72" s="2" t="n"/>
      <c r="H72" s="2" t="n"/>
      <c r="I72" s="2" t="n"/>
      <c r="J72" s="2" t="n"/>
      <c r="K72" s="2" t="n"/>
    </row>
    <row r="73">
      <c r="A73" s="2" t="n"/>
      <c r="B73" s="2" t="n"/>
      <c r="C73" s="2" t="n"/>
      <c r="D73" s="2" t="n"/>
      <c r="E73" s="2" t="n"/>
      <c r="F73" s="2" t="n"/>
      <c r="G73" s="2" t="n"/>
      <c r="H73" s="2" t="n"/>
      <c r="I73" s="2" t="n"/>
      <c r="J73" s="2" t="n"/>
      <c r="K73" s="2" t="n"/>
    </row>
    <row r="74">
      <c r="A74" s="2" t="n"/>
      <c r="B74" s="2" t="n"/>
      <c r="C74" s="2" t="n"/>
      <c r="D74" s="2" t="n"/>
      <c r="E74" s="2" t="n"/>
      <c r="F74" s="2" t="n"/>
      <c r="G74" s="2" t="n"/>
      <c r="H74" s="2" t="n"/>
      <c r="I74" s="2" t="n"/>
      <c r="J74" s="2" t="n"/>
      <c r="K74" s="2" t="n"/>
    </row>
    <row r="75">
      <c r="A75" s="59" t="inlineStr">
        <is>
          <t>6. FORWARD P/E on 会社予想 (company guidance), full history, PIT</t>
        </is>
      </c>
      <c r="B75" s="2" t="n"/>
      <c r="C75" s="2" t="n"/>
      <c r="D75" s="2" t="n"/>
      <c r="E75" s="2" t="n"/>
      <c r="F75" s="2" t="n"/>
      <c r="G75" s="2" t="n"/>
      <c r="H75" s="2" t="n"/>
      <c r="I75" s="2" t="n"/>
      <c r="J75" s="2" t="n"/>
      <c r="K75" s="2" t="n"/>
    </row>
    <row r="76">
      <c r="A76" s="2" t="inlineStr">
        <is>
          <t>A CONSENSUS forward band is not buildable here — PIT consensus snapshots only start 2026-04-09 (~5 months). Company guidance is carried PIT in fins_summary since 2008, and 会社予想PER is the multiple the JP market actually quotes. The sandbag is handled explicitly by the beat table below, not left implicit in the multiple.</t>
        </is>
      </c>
      <c r="B76" s="2" t="n"/>
      <c r="C76" s="2" t="n"/>
      <c r="D76" s="2" t="n"/>
      <c r="E76" s="2" t="n"/>
      <c r="F76" s="2" t="n"/>
      <c r="G76" s="2" t="n"/>
      <c r="H76" s="2" t="n"/>
      <c r="I76" s="2" t="n"/>
      <c r="J76" s="2" t="n"/>
      <c r="K76" s="2" t="n"/>
    </row>
    <row r="77">
      <c r="A77" s="2" t="n"/>
      <c r="B77" s="2" t="n"/>
      <c r="C77" s="2" t="n"/>
      <c r="D77" s="2" t="n"/>
      <c r="E77" s="2" t="n"/>
      <c r="F77" s="2" t="n"/>
      <c r="G77" s="2" t="n"/>
      <c r="H77" s="2" t="n"/>
      <c r="I77" s="2" t="n"/>
      <c r="J77" s="2" t="n"/>
      <c r="K77" s="2" t="n"/>
    </row>
    <row r="78">
      <c r="A78" s="37" t="inlineStr">
        <is>
          <t>Guide horizon (compare LIKE FOR LIKE)</t>
        </is>
      </c>
      <c r="B78" s="37" t="inlineStr">
        <is>
          <t>n</t>
        </is>
      </c>
      <c r="C78" s="37" t="inlineStr">
        <is>
          <t>min</t>
        </is>
      </c>
      <c r="D78" s="37" t="inlineStr">
        <is>
          <t>p10</t>
        </is>
      </c>
      <c r="E78" s="37" t="inlineStr">
        <is>
          <t>p25</t>
        </is>
      </c>
      <c r="F78" s="37" t="inlineStr">
        <is>
          <t>median</t>
        </is>
      </c>
      <c r="G78" s="37" t="inlineStr">
        <is>
          <t>p75</t>
        </is>
      </c>
      <c r="H78" s="37" t="inlineStr">
        <is>
          <t>p90</t>
        </is>
      </c>
      <c r="I78" s="37" t="inlineStr">
        <is>
          <t>max</t>
        </is>
      </c>
      <c r="J78" s="2" t="n"/>
      <c r="K78" s="2" t="n"/>
    </row>
    <row r="79">
      <c r="A79" s="2" t="inlineStr">
        <is>
          <t>9-11M left (期初 4-6月)</t>
        </is>
      </c>
      <c r="B79" s="2" t="n">
        <v>34</v>
      </c>
      <c r="C79" s="30" t="n">
        <v>7.4</v>
      </c>
      <c r="D79" s="30" t="n">
        <v>8</v>
      </c>
      <c r="E79" s="30" t="n">
        <v>9.6</v>
      </c>
      <c r="F79" s="30" t="n">
        <v>10.9</v>
      </c>
      <c r="G79" s="30" t="n">
        <v>13.3</v>
      </c>
      <c r="H79" s="30" t="n">
        <v>18.7</v>
      </c>
      <c r="I79" s="30" t="n">
        <v>25.7</v>
      </c>
      <c r="J79" s="2" t="n"/>
      <c r="K79" s="2" t="n"/>
    </row>
    <row r="80">
      <c r="A80" s="2" t="inlineStr">
        <is>
          <t>6-8M left (1Q後 7-9月)</t>
        </is>
      </c>
      <c r="B80" s="2" t="n">
        <v>51</v>
      </c>
      <c r="C80" s="30" t="n">
        <v>6.3</v>
      </c>
      <c r="D80" s="30" t="n">
        <v>8</v>
      </c>
      <c r="E80" s="30" t="n">
        <v>9.5</v>
      </c>
      <c r="F80" s="30" t="n">
        <v>10.5</v>
      </c>
      <c r="G80" s="30" t="n">
        <v>12.9</v>
      </c>
      <c r="H80" s="30" t="n">
        <v>20.7</v>
      </c>
      <c r="I80" s="30" t="n">
        <v>26.4</v>
      </c>
      <c r="J80" s="2" t="n"/>
      <c r="K80" s="2" t="n"/>
    </row>
    <row r="81">
      <c r="A81" s="3" t="inlineStr">
        <is>
          <t>3-5M left (2Q後 10-12月)   ← CURRENT</t>
        </is>
      </c>
      <c r="B81" s="2" t="n">
        <v>53</v>
      </c>
      <c r="C81" s="30" t="n">
        <v>6.7</v>
      </c>
      <c r="D81" s="30" t="n">
        <v>7.9</v>
      </c>
      <c r="E81" s="30" t="n">
        <v>9.199999999999999</v>
      </c>
      <c r="F81" s="30" t="n">
        <v>10.4</v>
      </c>
      <c r="G81" s="30" t="n">
        <v>13.2</v>
      </c>
      <c r="H81" s="30" t="n">
        <v>22.7</v>
      </c>
      <c r="I81" s="30" t="n">
        <v>58.6</v>
      </c>
      <c r="J81" s="2" t="n"/>
      <c r="K81" s="2" t="n"/>
    </row>
    <row r="82">
      <c r="A82" s="2" t="inlineStr">
        <is>
          <t>0-2M left (3Q後 1-3月)</t>
        </is>
      </c>
      <c r="B82" s="2" t="n">
        <v>49</v>
      </c>
      <c r="C82" s="30" t="n">
        <v>7.2</v>
      </c>
      <c r="D82" s="30" t="n">
        <v>8.4</v>
      </c>
      <c r="E82" s="30" t="n">
        <v>9.300000000000001</v>
      </c>
      <c r="F82" s="30" t="n">
        <v>11.7</v>
      </c>
      <c r="G82" s="30" t="n">
        <v>15.5</v>
      </c>
      <c r="H82" s="30" t="n">
        <v>26.1</v>
      </c>
      <c r="I82" s="30" t="n">
        <v>55.6</v>
      </c>
      <c r="J82" s="2" t="n"/>
      <c r="K82" s="2" t="n"/>
    </row>
    <row r="83">
      <c r="A83" s="2" t="inlineStr">
        <is>
          <t>All horizons pooled</t>
        </is>
      </c>
      <c r="B83" s="2" t="n">
        <v>187</v>
      </c>
      <c r="C83" s="30" t="n">
        <v>6.3</v>
      </c>
      <c r="D83" s="30" t="n">
        <v>8</v>
      </c>
      <c r="E83" s="30" t="n">
        <v>9.300000000000001</v>
      </c>
      <c r="F83" s="30" t="n">
        <v>10.6</v>
      </c>
      <c r="G83" s="30" t="n">
        <v>14</v>
      </c>
      <c r="H83" s="30" t="n">
        <v>21.5</v>
      </c>
      <c r="I83" s="30" t="n">
        <v>58.6</v>
      </c>
      <c r="J83" s="2" t="n"/>
      <c r="K83" s="2" t="n"/>
    </row>
    <row r="84">
      <c r="A84" s="2" t="n"/>
      <c r="B84" s="2" t="n"/>
      <c r="C84" s="2" t="n"/>
      <c r="D84" s="2" t="n"/>
      <c r="E84" s="2" t="n"/>
      <c r="F84" s="2" t="n"/>
      <c r="G84" s="2" t="n"/>
      <c r="H84" s="2" t="n"/>
      <c r="I84" s="2" t="n"/>
      <c r="J84" s="2" t="n"/>
      <c r="K84" s="2" t="n"/>
    </row>
    <row r="85">
      <c r="A85" s="2" t="inlineStr">
        <is>
          <t>Guide EPS in force (¥)</t>
        </is>
      </c>
      <c r="B85" s="13" t="n">
        <v>209.25</v>
      </c>
      <c r="C85" s="2" t="n"/>
      <c r="D85" s="2" t="n"/>
      <c r="E85" s="2" t="n"/>
      <c r="F85" s="2" t="n"/>
      <c r="G85" s="2" t="n"/>
      <c r="H85" s="2" t="n"/>
      <c r="I85" s="2" t="n"/>
      <c r="J85" s="2" t="n"/>
      <c r="K85" s="2" t="n"/>
    </row>
    <row r="86">
      <c r="A86" s="2" t="inlineStr">
        <is>
          <t>Guided FY end</t>
        </is>
      </c>
      <c r="B86" s="2" t="inlineStr">
        <is>
          <t>2026-12</t>
        </is>
      </c>
      <c r="C86" s="2" t="n"/>
      <c r="D86" s="2" t="n"/>
      <c r="E86" s="2" t="n"/>
      <c r="F86" s="2" t="n"/>
      <c r="G86" s="2" t="n"/>
      <c r="H86" s="2" t="n"/>
      <c r="I86" s="2" t="n"/>
      <c r="J86" s="2" t="n"/>
      <c r="K86" s="2" t="n"/>
    </row>
    <row r="87">
      <c r="A87" s="2" t="inlineStr">
        <is>
          <t>Months of guide left</t>
        </is>
      </c>
      <c r="B87" s="2" t="n">
        <v>3</v>
      </c>
      <c r="C87" s="2" t="n"/>
      <c r="D87" s="2" t="n"/>
      <c r="E87" s="2" t="n"/>
      <c r="F87" s="2" t="n"/>
      <c r="G87" s="2" t="n"/>
      <c r="H87" s="2" t="n"/>
      <c r="I87" s="2" t="n"/>
      <c r="J87" s="2" t="n"/>
      <c r="K87" s="2" t="n"/>
    </row>
    <row r="88">
      <c r="A88" s="3" t="inlineStr">
        <is>
          <t>CURRENT 会社予想 fwd P/E</t>
        </is>
      </c>
      <c r="B88" s="21" t="n">
        <v>9.65</v>
      </c>
      <c r="C88" s="2" t="n"/>
      <c r="D88" s="2" t="n"/>
      <c r="E88" s="2" t="n"/>
      <c r="F88" s="2" t="n"/>
      <c r="G88" s="2" t="n"/>
      <c r="H88" s="2" t="n"/>
      <c r="I88" s="2" t="n"/>
      <c r="J88" s="2" t="n"/>
      <c r="K88" s="2" t="n"/>
    </row>
    <row r="89">
      <c r="A89" s="2" t="inlineStr">
        <is>
          <t xml:space="preserve">  percentile within the SAME horizon bucket</t>
        </is>
      </c>
      <c r="B89" s="30" t="n">
        <v>34</v>
      </c>
      <c r="C89" s="2" t="n"/>
      <c r="D89" s="2" t="n"/>
      <c r="E89" s="2" t="n"/>
      <c r="F89" s="2" t="n"/>
      <c r="G89" s="2" t="n"/>
      <c r="H89" s="2" t="n"/>
      <c r="I89" s="2" t="n"/>
      <c r="J89" s="2" t="n"/>
      <c r="K89" s="2" t="n"/>
    </row>
    <row r="90">
      <c r="A90" s="2" t="n"/>
      <c r="B90" s="2" t="n"/>
      <c r="C90" s="2" t="n"/>
      <c r="D90" s="2" t="n"/>
      <c r="E90" s="2" t="n"/>
      <c r="F90" s="2" t="n"/>
      <c r="G90" s="2" t="n"/>
      <c r="H90" s="2" t="n"/>
      <c r="I90" s="2" t="n"/>
      <c r="J90" s="2" t="n"/>
      <c r="K90" s="2" t="n"/>
    </row>
    <row r="91">
      <c r="A91" s="3" t="inlineStr">
        <is>
          <t>Sandbag check — actual FY EPS ÷ the FIRST guide issued for that FY</t>
        </is>
      </c>
      <c r="B91" s="2" t="n"/>
      <c r="C91" s="2" t="n"/>
      <c r="D91" s="2" t="n"/>
      <c r="E91" s="2" t="n"/>
      <c r="F91" s="2" t="n"/>
      <c r="G91" s="2" t="n"/>
      <c r="H91" s="2" t="n"/>
      <c r="I91" s="2" t="n"/>
      <c r="J91" s="2" t="n"/>
      <c r="K91" s="2" t="n"/>
    </row>
    <row r="92">
      <c r="A92" s="37" t="inlineStr">
        <is>
          <t>Stat</t>
        </is>
      </c>
      <c r="B92" s="37" t="inlineStr">
        <is>
          <t>n</t>
        </is>
      </c>
      <c r="C92" s="37" t="inlineStr">
        <is>
          <t>min</t>
        </is>
      </c>
      <c r="D92" s="37" t="inlineStr">
        <is>
          <t>p25</t>
        </is>
      </c>
      <c r="E92" s="37" t="inlineStr">
        <is>
          <t>median</t>
        </is>
      </c>
      <c r="F92" s="37" t="inlineStr">
        <is>
          <t>p75</t>
        </is>
      </c>
      <c r="G92" s="37" t="inlineStr">
        <is>
          <t>max</t>
        </is>
      </c>
      <c r="H92" s="37" t="inlineStr">
        <is>
          <t>beat rate %</t>
        </is>
      </c>
      <c r="I92" s="2" t="n"/>
      <c r="J92" s="2" t="n"/>
      <c r="K92" s="2" t="n"/>
    </row>
    <row r="93">
      <c r="A93" s="3" t="inlineStr">
        <is>
          <t>guide → actual factor</t>
        </is>
      </c>
      <c r="B93" s="2" t="n">
        <v>16</v>
      </c>
      <c r="C93" s="70" t="n">
        <v>0.267</v>
      </c>
      <c r="D93" s="70" t="n">
        <v>0.703</v>
      </c>
      <c r="E93" s="70" t="n">
        <v>1.054</v>
      </c>
      <c r="F93" s="70" t="n">
        <v>1.245</v>
      </c>
      <c r="G93" s="70" t="n">
        <v>3.155</v>
      </c>
      <c r="H93" s="28" t="n">
        <v>62</v>
      </c>
      <c r="I93" s="2" t="n"/>
      <c r="J93" s="2" t="n"/>
      <c r="K93" s="2" t="n"/>
    </row>
    <row r="94">
      <c r="A94" s="2" t="inlineStr">
        <is>
          <t>Read: a factor of 1.20 means the company came in 20% above its own opening guide. The max is a post-crash artefact (guide reset to near-zero), so use the median.</t>
        </is>
      </c>
      <c r="B94" s="2" t="n"/>
      <c r="C94" s="2" t="n"/>
      <c r="D94" s="2" t="n"/>
      <c r="E94" s="2" t="n"/>
      <c r="F94" s="2" t="n"/>
      <c r="G94" s="2" t="n"/>
      <c r="H94" s="2" t="n"/>
      <c r="I94" s="2" t="n"/>
      <c r="J94" s="2" t="n"/>
      <c r="K94" s="2" t="n"/>
    </row>
    <row r="95">
      <c r="A95" s="2" t="n"/>
      <c r="B95" s="2" t="n"/>
      <c r="C95" s="2" t="n"/>
      <c r="D95" s="2" t="n"/>
      <c r="E95" s="2" t="n"/>
      <c r="F95" s="2" t="n"/>
      <c r="G95" s="2" t="n"/>
      <c r="H95" s="2" t="n"/>
      <c r="I95" s="2" t="n"/>
      <c r="J95" s="2" t="n"/>
      <c r="K95" s="2" t="n"/>
    </row>
    <row r="96">
      <c r="A96" s="59" t="inlineStr">
        <is>
          <t>Same price, four EPS vintages — this is what the 'P/E' argument is really about</t>
        </is>
      </c>
      <c r="B96" s="2" t="n"/>
      <c r="C96" s="2" t="n"/>
      <c r="D96" s="2" t="n"/>
      <c r="E96" s="2" t="n"/>
      <c r="F96" s="2" t="n"/>
      <c r="G96" s="2" t="n"/>
      <c r="H96" s="2" t="n"/>
      <c r="I96" s="2" t="n"/>
      <c r="J96" s="2" t="n"/>
      <c r="K96" s="2" t="n"/>
    </row>
    <row r="97">
      <c r="A97" s="37" t="inlineStr">
        <is>
          <t>EPS vintage</t>
        </is>
      </c>
      <c r="B97" s="37" t="inlineStr">
        <is>
          <t>FY EPS (¥)</t>
        </is>
      </c>
      <c r="C97" s="37" t="inlineStr">
        <is>
          <t>fwd P/E</t>
        </is>
      </c>
      <c r="D97" s="37" t="inlineStr">
        <is>
          <t>implied beat vs guide</t>
        </is>
      </c>
      <c r="E97" s="2" t="n"/>
      <c r="F97" s="2" t="n"/>
      <c r="G97" s="2" t="n"/>
      <c r="H97" s="2" t="n"/>
      <c r="I97" s="2" t="n"/>
      <c r="J97" s="2" t="n"/>
      <c r="K97" s="2" t="n"/>
    </row>
    <row r="98">
      <c r="A98" s="2" t="inlineStr">
        <is>
          <t>会社 guide (fins_summary)</t>
        </is>
      </c>
      <c r="B98" s="13" t="n">
        <v>209.25</v>
      </c>
      <c r="C98" s="102">
        <f>IFERROR(2020.0/B98,"")</f>
        <v/>
      </c>
      <c r="D98" s="74">
        <f>IFERROR(B98/B98,"")</f>
        <v/>
      </c>
      <c r="E98" s="2" t="n"/>
      <c r="F98" s="2" t="n"/>
      <c r="G98" s="2" t="n"/>
      <c r="H98" s="2" t="n"/>
      <c r="I98" s="2" t="n"/>
      <c r="J98" s="2" t="n"/>
      <c r="K98" s="2" t="n"/>
    </row>
    <row r="99">
      <c r="A99" s="2" t="inlineStr">
        <is>
          <t>街道 consensus (Comp sheet)</t>
        </is>
      </c>
      <c r="B99" s="14">
        <f>IFERROR(INDEX(Comp!I:I,MATCH("51100",Comp!A:A,0)),"")</f>
        <v/>
      </c>
      <c r="C99" s="102">
        <f>IFERROR(2020.0/B99,"")</f>
        <v/>
      </c>
      <c r="D99" s="74">
        <f>IFERROR(B99/B98,"")</f>
        <v/>
      </c>
      <c r="E99" s="2" t="n"/>
      <c r="F99" s="2" t="n"/>
      <c r="G99" s="2" t="n"/>
      <c r="H99" s="2" t="n"/>
      <c r="I99" s="2" t="n"/>
      <c r="J99" s="2" t="n"/>
      <c r="K99" s="2" t="n"/>
    </row>
    <row r="100">
      <c r="A100" s="2" t="inlineStr">
        <is>
          <t>guide × historical median beat</t>
        </is>
      </c>
      <c r="B100" s="54">
        <f>B98*1.0544</f>
        <v/>
      </c>
      <c r="C100" s="102">
        <f>IFERROR(2020.0/B100,"")</f>
        <v/>
      </c>
      <c r="D100" s="74">
        <f>IFERROR(B100/B98,"")</f>
        <v/>
      </c>
      <c r="E100" s="2" t="n"/>
      <c r="F100" s="2" t="n"/>
      <c r="G100" s="2" t="n"/>
      <c r="H100" s="2" t="n"/>
      <c r="I100" s="2" t="n"/>
      <c r="J100" s="2" t="n"/>
      <c r="K100" s="2" t="n"/>
    </row>
    <row r="101">
      <c r="A101" s="3" t="inlineStr">
        <is>
          <t>本模型 this model (FY guide-year)</t>
        </is>
      </c>
      <c r="B101" s="14">
        <f>FS!V22</f>
        <v/>
      </c>
      <c r="C101" s="102">
        <f>IFERROR(2020.0/B101,"")</f>
        <v/>
      </c>
      <c r="D101" s="74">
        <f>IFERROR(B101/B98,"")</f>
        <v/>
      </c>
      <c r="E101" s="2" t="n"/>
      <c r="F101" s="2" t="n"/>
      <c r="G101" s="2" t="n"/>
      <c r="H101" s="2" t="n"/>
      <c r="I101" s="2" t="n"/>
      <c r="J101" s="2" t="n"/>
      <c r="K101" s="2" t="n"/>
    </row>
    <row r="102">
      <c r="A102" s="2" t="inlineStr">
        <is>
          <t>Price used: ¥2,020 (2026-09-28). The 'implied beat' column says what each EPS vintage assumes about the sandbag — compare it against the beat-factor distribution above before believing any of them.</t>
        </is>
      </c>
      <c r="B102" s="2" t="n"/>
      <c r="C102" s="2" t="n"/>
      <c r="D102" s="2" t="n"/>
      <c r="E102" s="2" t="n"/>
      <c r="F102" s="2" t="n"/>
      <c r="G102" s="2" t="n"/>
      <c r="H102" s="2" t="n"/>
      <c r="I102" s="2" t="n"/>
      <c r="J102" s="2" t="n"/>
      <c r="K102" s="2" t="n"/>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21"/>
  <sheetViews>
    <sheetView workbookViewId="0">
      <selection activeCell="A1" sqref="A1"/>
    </sheetView>
  </sheetViews>
  <sheetFormatPr baseColWidth="8" defaultRowHeight="15"/>
  <cols>
    <col width="42"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s>
  <sheetData>
    <row r="1">
      <c r="A1" s="84" t="inlineStr">
        <is>
          <t>Sumitomo Rubber Industries — Integrity Checks. All cells should be 0. Master cell at top.</t>
        </is>
      </c>
      <c r="B1" s="2" t="n"/>
      <c r="C1" s="2" t="n"/>
      <c r="D1" s="2" t="n"/>
      <c r="E1" s="2" t="n"/>
      <c r="F1" s="2" t="n"/>
      <c r="G1" s="2" t="n"/>
      <c r="H1" s="2" t="n"/>
      <c r="I1" s="2" t="n"/>
      <c r="J1" s="2" t="n"/>
      <c r="K1" s="2" t="n"/>
      <c r="L1" s="2" t="n"/>
      <c r="M1" s="2" t="n"/>
      <c r="N1" s="2" t="n"/>
      <c r="O1" s="2" t="n"/>
      <c r="P1" s="2" t="n"/>
      <c r="Q1" s="2" t="n"/>
    </row>
    <row r="2">
      <c r="A2" s="2" t="n"/>
      <c r="B2" s="2" t="n"/>
      <c r="C2" s="2" t="n"/>
      <c r="D2" s="2" t="n"/>
      <c r="E2" s="2" t="n"/>
      <c r="F2" s="2" t="n"/>
      <c r="G2" s="2" t="n"/>
      <c r="H2" s="2" t="n"/>
      <c r="I2" s="2" t="n"/>
      <c r="J2" s="2" t="n"/>
      <c r="K2" s="2" t="n"/>
      <c r="L2" s="2" t="n"/>
      <c r="M2" s="2" t="n"/>
      <c r="N2" s="2" t="n"/>
      <c r="O2" s="2" t="n"/>
      <c r="P2" s="2" t="n"/>
      <c r="Q2" s="2" t="n"/>
    </row>
    <row r="3">
      <c r="A3" s="85" t="inlineStr">
        <is>
          <t>MASTER STATUS</t>
        </is>
      </c>
      <c r="B3" s="103">
        <f>IF(SUMPRODUCT(ABS(IFERROR(B6:Q12,0)))&lt;0.5,"✓ ALL CHECKS PASS","✗ ERRORS DETECTED — review red cells below")</f>
        <v/>
      </c>
      <c r="C3" s="2" t="n"/>
      <c r="D3" s="2" t="n"/>
      <c r="E3" s="2" t="n"/>
      <c r="F3" s="2" t="n"/>
      <c r="G3" s="2" t="n"/>
      <c r="H3" s="2" t="n"/>
      <c r="I3" s="2" t="n"/>
      <c r="J3" s="2" t="n"/>
      <c r="K3" s="2" t="n"/>
      <c r="L3" s="2" t="n"/>
      <c r="M3" s="2" t="n"/>
      <c r="N3" s="2" t="n"/>
      <c r="O3" s="2" t="n"/>
      <c r="P3" s="2" t="n"/>
      <c r="Q3" s="2" t="n"/>
    </row>
    <row r="4">
      <c r="A4" s="2" t="n"/>
      <c r="B4" s="2" t="n"/>
      <c r="C4" s="2" t="n"/>
      <c r="D4" s="2" t="n"/>
      <c r="E4" s="2" t="n"/>
      <c r="F4" s="2" t="n"/>
      <c r="G4" s="2" t="n"/>
      <c r="H4" s="2" t="n"/>
      <c r="I4" s="2" t="n"/>
      <c r="J4" s="2" t="n"/>
      <c r="K4" s="2" t="n"/>
      <c r="L4" s="2" t="n"/>
      <c r="M4" s="2" t="n"/>
      <c r="N4" s="2" t="n"/>
      <c r="O4" s="2" t="n"/>
      <c r="P4" s="2" t="n"/>
      <c r="Q4" s="2" t="n"/>
    </row>
    <row r="5">
      <c r="A5" s="3" t="inlineStr">
        <is>
          <t>Check</t>
        </is>
      </c>
      <c r="B5" s="3" t="inlineStr">
        <is>
          <t>FY24Q3</t>
        </is>
      </c>
      <c r="C5" s="3" t="inlineStr">
        <is>
          <t>FY24Q4</t>
        </is>
      </c>
      <c r="D5" s="3" t="inlineStr">
        <is>
          <t>FY25Q1</t>
        </is>
      </c>
      <c r="E5" s="3" t="inlineStr">
        <is>
          <t>FY25Q2</t>
        </is>
      </c>
      <c r="F5" s="3" t="inlineStr">
        <is>
          <t>FY25Q3</t>
        </is>
      </c>
      <c r="G5" s="3" t="inlineStr">
        <is>
          <t>FY25Q4</t>
        </is>
      </c>
      <c r="H5" s="3" t="inlineStr">
        <is>
          <t>FY26Q1</t>
        </is>
      </c>
      <c r="I5" s="3" t="inlineStr">
        <is>
          <t>FY26Q2</t>
        </is>
      </c>
      <c r="J5" s="3" t="inlineStr">
        <is>
          <t>FY26Q3</t>
        </is>
      </c>
      <c r="K5" s="3" t="inlineStr">
        <is>
          <t>FY26Q4</t>
        </is>
      </c>
      <c r="L5" s="3" t="inlineStr">
        <is>
          <t>FY27Q1</t>
        </is>
      </c>
      <c r="M5" s="3" t="inlineStr">
        <is>
          <t>FY27Q2</t>
        </is>
      </c>
      <c r="N5" s="3" t="inlineStr">
        <is>
          <t>FY27Q3</t>
        </is>
      </c>
      <c r="O5" s="3" t="inlineStr">
        <is>
          <t>FY27Q4</t>
        </is>
      </c>
      <c r="P5" s="3" t="inlineStr">
        <is>
          <t>FY28Q1</t>
        </is>
      </c>
      <c r="Q5" s="3" t="inlineStr">
        <is>
          <t>FY28Q2</t>
        </is>
      </c>
    </row>
    <row r="6">
      <c r="A6" s="3" t="inlineStr">
        <is>
          <t>BS: TA - TL - TE</t>
        </is>
      </c>
      <c r="B6" s="104">
        <f>FS!B50</f>
        <v/>
      </c>
      <c r="C6" s="104">
        <f>FS!C50</f>
        <v/>
      </c>
      <c r="D6" s="104">
        <f>FS!D50</f>
        <v/>
      </c>
      <c r="E6" s="104">
        <f>FS!E50</f>
        <v/>
      </c>
      <c r="F6" s="104">
        <f>FS!F50</f>
        <v/>
      </c>
      <c r="G6" s="104">
        <f>FS!G50</f>
        <v/>
      </c>
      <c r="H6" s="104">
        <f>FS!H50</f>
        <v/>
      </c>
      <c r="I6" s="104">
        <f>FS!I50</f>
        <v/>
      </c>
      <c r="J6" s="104">
        <f>FS!J50</f>
        <v/>
      </c>
      <c r="K6" s="104">
        <f>FS!K50</f>
        <v/>
      </c>
      <c r="L6" s="104">
        <f>FS!L50</f>
        <v/>
      </c>
      <c r="M6" s="104">
        <f>FS!M50</f>
        <v/>
      </c>
      <c r="N6" s="104">
        <f>FS!N50</f>
        <v/>
      </c>
      <c r="O6" s="104">
        <f>FS!O50</f>
        <v/>
      </c>
      <c r="P6" s="104">
        <f>FS!P50</f>
        <v/>
      </c>
      <c r="Q6" s="104">
        <f>FS!Q50</f>
        <v/>
      </c>
    </row>
    <row r="7">
      <c r="A7" s="3" t="inlineStr">
        <is>
          <t>Cash tie: BS Cash - (Prior Cash + CF NetΔ)</t>
        </is>
      </c>
      <c r="B7" s="2" t="n"/>
      <c r="C7" s="104">
        <f>FS!C30 - (FS!B30 + FS!C66)</f>
        <v/>
      </c>
      <c r="D7" s="104">
        <f>FS!D30 - (FS!C30 + FS!D66)</f>
        <v/>
      </c>
      <c r="E7" s="104">
        <f>FS!E30 - (FS!D30 + FS!E66)</f>
        <v/>
      </c>
      <c r="F7" s="104">
        <f>FS!F30 - (FS!E30 + FS!F66)</f>
        <v/>
      </c>
      <c r="G7" s="104">
        <f>FS!G30 - (FS!F30 + FS!G66)</f>
        <v/>
      </c>
      <c r="H7" s="104">
        <f>FS!H30 - (FS!G30 + FS!H66)</f>
        <v/>
      </c>
      <c r="I7" s="104">
        <f>FS!I30 - (FS!H30 + FS!I66)</f>
        <v/>
      </c>
      <c r="J7" s="104">
        <f>FS!J30 - (FS!I30 + FS!J66)</f>
        <v/>
      </c>
      <c r="K7" s="104">
        <f>FS!K30 - (FS!J30 + FS!K66)</f>
        <v/>
      </c>
      <c r="L7" s="104">
        <f>FS!L30 - (FS!K30 + FS!L66)</f>
        <v/>
      </c>
      <c r="M7" s="104">
        <f>FS!M30 - (FS!L30 + FS!M66)</f>
        <v/>
      </c>
      <c r="N7" s="104">
        <f>FS!N30 - (FS!M30 + FS!N66)</f>
        <v/>
      </c>
      <c r="O7" s="104">
        <f>FS!O30 - (FS!N30 + FS!O66)</f>
        <v/>
      </c>
      <c r="P7" s="104">
        <f>FS!P30 - (FS!O30 + FS!P66)</f>
        <v/>
      </c>
      <c r="Q7" s="104">
        <f>FS!Q30 - (FS!P30 + FS!Q66)</f>
        <v/>
      </c>
    </row>
    <row r="8">
      <c r="A8" s="3" t="inlineStr">
        <is>
          <t>NI link: PL NI - CF NI</t>
        </is>
      </c>
      <c r="B8" s="104">
        <f>FS!B18 - FS!B69</f>
        <v/>
      </c>
      <c r="C8" s="104">
        <f>FS!C18 - FS!C69</f>
        <v/>
      </c>
      <c r="D8" s="104">
        <f>FS!D18 - FS!D69</f>
        <v/>
      </c>
      <c r="E8" s="104">
        <f>FS!E18 - FS!E69</f>
        <v/>
      </c>
      <c r="F8" s="104">
        <f>FS!F18 - FS!F69</f>
        <v/>
      </c>
      <c r="G8" s="104">
        <f>FS!G18 - FS!G69</f>
        <v/>
      </c>
      <c r="H8" s="104">
        <f>FS!H18 - FS!H69</f>
        <v/>
      </c>
      <c r="I8" s="104">
        <f>FS!I18 - FS!I69</f>
        <v/>
      </c>
      <c r="J8" s="104">
        <f>FS!J18 - FS!J69</f>
        <v/>
      </c>
      <c r="K8" s="104">
        <f>FS!K18 - FS!K69</f>
        <v/>
      </c>
      <c r="L8" s="104">
        <f>FS!L18 - FS!L69</f>
        <v/>
      </c>
      <c r="M8" s="104">
        <f>FS!M18 - FS!M69</f>
        <v/>
      </c>
      <c r="N8" s="104">
        <f>FS!N18 - FS!N69</f>
        <v/>
      </c>
      <c r="O8" s="104">
        <f>FS!O18 - FS!O69</f>
        <v/>
      </c>
      <c r="P8" s="104">
        <f>FS!P18 - FS!P69</f>
        <v/>
      </c>
      <c r="Q8" s="104">
        <f>FS!Q18 - FS!Q69</f>
        <v/>
      </c>
    </row>
    <row r="9">
      <c r="A9" s="3" t="inlineStr">
        <is>
          <t>RE roll: ΔRE - (NI - Div - Buyback)</t>
        </is>
      </c>
      <c r="B9" s="2" t="n"/>
      <c r="C9" s="104">
        <f>FS!C46 - (FS!B46 + FS!C18 - FS!C75 - FS!C76)</f>
        <v/>
      </c>
      <c r="D9" s="104">
        <f>FS!D46 - (FS!C46 + FS!D18 - FS!D75 - FS!D76)</f>
        <v/>
      </c>
      <c r="E9" s="104">
        <f>FS!E46 - (FS!D46 + FS!E18 - FS!E75 - FS!E76)</f>
        <v/>
      </c>
      <c r="F9" s="104">
        <f>FS!F46 - (FS!E46 + FS!F18 - FS!F75 - FS!F76)</f>
        <v/>
      </c>
      <c r="G9" s="104">
        <f>FS!G46 - (FS!F46 + FS!G18 - FS!G75 - FS!G76)</f>
        <v/>
      </c>
      <c r="H9" s="104">
        <f>FS!H46 - (FS!G46 + FS!H18 - FS!H75 - FS!H76)</f>
        <v/>
      </c>
      <c r="I9" s="104">
        <f>FS!I46 - (FS!H46 + FS!I18 - FS!I75 - FS!I76)</f>
        <v/>
      </c>
      <c r="J9" s="104">
        <f>FS!J46 - (FS!I46 + FS!J18 - FS!J75 - FS!J76)</f>
        <v/>
      </c>
      <c r="K9" s="104">
        <f>FS!K46 - (FS!J46 + FS!K18 - FS!K75 - FS!K76)</f>
        <v/>
      </c>
      <c r="L9" s="104">
        <f>FS!L46 - (FS!K46 + FS!L18 - FS!L75 - FS!L76)</f>
        <v/>
      </c>
      <c r="M9" s="104">
        <f>FS!M46 - (FS!L46 + FS!M18 - FS!M75 - FS!M76)</f>
        <v/>
      </c>
      <c r="N9" s="104">
        <f>FS!N46 - (FS!M46 + FS!N18 - FS!N75 - FS!N76)</f>
        <v/>
      </c>
      <c r="O9" s="104">
        <f>FS!O46 - (FS!N46 + FS!O18 - FS!O75 - FS!O76)</f>
        <v/>
      </c>
      <c r="P9" s="104">
        <f>FS!P46 - (FS!O46 + FS!P18 - FS!P75 - FS!P76)</f>
        <v/>
      </c>
      <c r="Q9" s="104">
        <f>FS!Q46 - (FS!P46 + FS!Q18 - FS!Q75 - FS!Q76)</f>
        <v/>
      </c>
    </row>
    <row r="10">
      <c r="A10" s="3" t="inlineStr">
        <is>
          <t>ΔWC tie: CF ΔWC vs BS ΔAR/Inv/AP</t>
        </is>
      </c>
      <c r="B10" s="2" t="n"/>
      <c r="C10" s="104">
        <f>FS!C71 - (-(FS!C31-FS!B31) - (FS!C32-FS!B32) + (FS!C40-FS!B40))</f>
        <v/>
      </c>
      <c r="D10" s="104">
        <f>FS!D71 - (-(FS!D31-FS!C31) - (FS!D32-FS!C32) + (FS!D40-FS!C40))</f>
        <v/>
      </c>
      <c r="E10" s="104">
        <f>FS!E71 - (-(FS!E31-FS!D31) - (FS!E32-FS!D32) + (FS!E40-FS!D40))</f>
        <v/>
      </c>
      <c r="F10" s="104">
        <f>FS!F71 - (-(FS!F31-FS!E31) - (FS!F32-FS!E32) + (FS!F40-FS!E40))</f>
        <v/>
      </c>
      <c r="G10" s="104">
        <f>FS!G71 - (-(FS!G31-FS!F31) - (FS!G32-FS!F32) + (FS!G40-FS!F40))</f>
        <v/>
      </c>
      <c r="H10" s="104">
        <f>FS!H71 - (-(FS!H31-FS!G31) - (FS!H32-FS!G32) + (FS!H40-FS!G40))</f>
        <v/>
      </c>
      <c r="I10" s="104">
        <f>FS!I71 - (-(FS!I31-FS!H31) - (FS!I32-FS!H32) + (FS!I40-FS!H40))</f>
        <v/>
      </c>
      <c r="J10" s="104">
        <f>FS!J71 - (-(FS!J31-FS!I31) - (FS!J32-FS!I32) + (FS!J40-FS!I40))</f>
        <v/>
      </c>
      <c r="K10" s="104">
        <f>FS!K71 - (-(FS!K31-FS!J31) - (FS!K32-FS!J32) + (FS!K40-FS!J40))</f>
        <v/>
      </c>
      <c r="L10" s="104">
        <f>FS!L71 - (-(FS!L31-FS!K31) - (FS!L32-FS!K32) + (FS!L40-FS!K40))</f>
        <v/>
      </c>
      <c r="M10" s="104">
        <f>FS!M71 - (-(FS!M31-FS!L31) - (FS!M32-FS!L32) + (FS!M40-FS!L40))</f>
        <v/>
      </c>
      <c r="N10" s="104">
        <f>FS!N71 - (-(FS!N31-FS!M31) - (FS!N32-FS!M32) + (FS!N40-FS!M40))</f>
        <v/>
      </c>
      <c r="O10" s="104">
        <f>FS!O71 - (-(FS!O31-FS!N31) - (FS!O32-FS!N32) + (FS!O40-FS!N40))</f>
        <v/>
      </c>
      <c r="P10" s="104">
        <f>FS!P71 - (-(FS!P31-FS!O31) - (FS!P32-FS!O32) + (FS!P40-FS!O40))</f>
        <v/>
      </c>
      <c r="Q10" s="104">
        <f>FS!Q71 - (-(FS!Q31-FS!P31) - (FS!Q32-FS!P32) + (FS!Q40-FS!P40))</f>
        <v/>
      </c>
    </row>
    <row r="11">
      <c r="A11" s="3" t="inlineStr">
        <is>
          <t>CapEx tie: CF Capex - Assumption</t>
        </is>
      </c>
      <c r="B11" s="2" t="n"/>
      <c r="C11" s="2" t="n"/>
      <c r="D11" s="2" t="n"/>
      <c r="E11" s="2" t="n"/>
      <c r="F11" s="2" t="n"/>
      <c r="G11" s="2" t="n"/>
      <c r="H11" s="2" t="n"/>
      <c r="I11" s="2" t="n"/>
      <c r="J11" s="104">
        <f>FS!J73 - FS!$B$95</f>
        <v/>
      </c>
      <c r="K11" s="104">
        <f>FS!K73 - FS!$B$95</f>
        <v/>
      </c>
      <c r="L11" s="104">
        <f>FS!L73 - FS!$B$95</f>
        <v/>
      </c>
      <c r="M11" s="104">
        <f>FS!M73 - FS!$B$95</f>
        <v/>
      </c>
      <c r="N11" s="104">
        <f>FS!N73 - FS!$B$95</f>
        <v/>
      </c>
      <c r="O11" s="104">
        <f>FS!O73 - FS!$B$95</f>
        <v/>
      </c>
      <c r="P11" s="104">
        <f>FS!P73 - FS!$B$95</f>
        <v/>
      </c>
      <c r="Q11" s="104">
        <f>FS!Q73 - FS!$B$95</f>
        <v/>
      </c>
    </row>
    <row r="12">
      <c r="A12" s="3" t="inlineStr">
        <is>
          <t>Buyback tie: CF Buyback - Assumption</t>
        </is>
      </c>
      <c r="B12" s="2" t="n"/>
      <c r="C12" s="2" t="n"/>
      <c r="D12" s="2" t="n"/>
      <c r="E12" s="2" t="n"/>
      <c r="F12" s="2" t="n"/>
      <c r="G12" s="2" t="n"/>
      <c r="H12" s="2" t="n"/>
      <c r="I12" s="2" t="n"/>
      <c r="J12" s="104">
        <f>FS!J76 - FS!$B$96</f>
        <v/>
      </c>
      <c r="K12" s="104">
        <f>FS!K76 - FS!$B$96</f>
        <v/>
      </c>
      <c r="L12" s="104">
        <f>FS!L76 - FS!$B$96</f>
        <v/>
      </c>
      <c r="M12" s="104">
        <f>FS!M76 - FS!$B$96</f>
        <v/>
      </c>
      <c r="N12" s="104">
        <f>FS!N76 - FS!$B$96</f>
        <v/>
      </c>
      <c r="O12" s="104">
        <f>FS!O76 - FS!$B$96</f>
        <v/>
      </c>
      <c r="P12" s="104">
        <f>FS!P76 - FS!$B$96</f>
        <v/>
      </c>
      <c r="Q12" s="104">
        <f>FS!Q76 - FS!$B$96</f>
        <v/>
      </c>
    </row>
    <row r="13">
      <c r="A13" s="2" t="n"/>
      <c r="B13" s="2" t="n"/>
      <c r="C13" s="2" t="n"/>
      <c r="D13" s="2" t="n"/>
      <c r="E13" s="2" t="n"/>
      <c r="F13" s="2" t="n"/>
      <c r="G13" s="2" t="n"/>
      <c r="H13" s="2" t="n"/>
      <c r="I13" s="2" t="n"/>
      <c r="J13" s="2" t="n"/>
      <c r="K13" s="2" t="n"/>
      <c r="L13" s="2" t="n"/>
      <c r="M13" s="2" t="n"/>
      <c r="N13" s="2" t="n"/>
      <c r="O13" s="2" t="n"/>
      <c r="P13" s="2" t="n"/>
      <c r="Q13" s="2" t="n"/>
    </row>
    <row r="14">
      <c r="A14" s="2" t="n"/>
      <c r="B14" s="2" t="n"/>
      <c r="C14" s="2" t="n"/>
      <c r="D14" s="2" t="n"/>
      <c r="E14" s="2" t="n"/>
      <c r="F14" s="2" t="n"/>
      <c r="G14" s="2" t="n"/>
      <c r="H14" s="2" t="n"/>
      <c r="I14" s="2" t="n"/>
      <c r="J14" s="2" t="n"/>
      <c r="K14" s="2" t="n"/>
      <c r="L14" s="2" t="n"/>
      <c r="M14" s="2" t="n"/>
      <c r="N14" s="2" t="n"/>
      <c r="O14" s="2" t="n"/>
      <c r="P14" s="2" t="n"/>
      <c r="Q14" s="2" t="n"/>
    </row>
    <row r="15">
      <c r="A15" s="3" t="inlineStr">
        <is>
          <t>Sign convention reminder:</t>
        </is>
      </c>
      <c r="B15" s="2" t="n"/>
      <c r="C15" s="2" t="n"/>
      <c r="D15" s="2" t="n"/>
      <c r="E15" s="2" t="n"/>
      <c r="F15" s="2" t="n"/>
      <c r="G15" s="2" t="n"/>
      <c r="H15" s="2" t="n"/>
      <c r="I15" s="2" t="n"/>
      <c r="J15" s="2" t="n"/>
      <c r="K15" s="2" t="n"/>
      <c r="L15" s="2" t="n"/>
      <c r="M15" s="2" t="n"/>
      <c r="N15" s="2" t="n"/>
      <c r="O15" s="2" t="n"/>
      <c r="P15" s="2" t="n"/>
      <c r="Q15" s="2" t="n"/>
    </row>
    <row r="16">
      <c r="A16" s="98" t="inlineStr">
        <is>
          <t xml:space="preserve">  CFO ΔAR (asset increase) = NEGATIVE (use of cash)</t>
        </is>
      </c>
      <c r="B16" s="2" t="n"/>
      <c r="C16" s="2" t="n"/>
      <c r="D16" s="2" t="n"/>
      <c r="E16" s="2" t="n"/>
      <c r="F16" s="2" t="n"/>
      <c r="G16" s="2" t="n"/>
      <c r="H16" s="2" t="n"/>
      <c r="I16" s="2" t="n"/>
      <c r="J16" s="2" t="n"/>
      <c r="K16" s="2" t="n"/>
      <c r="L16" s="2" t="n"/>
      <c r="M16" s="2" t="n"/>
      <c r="N16" s="2" t="n"/>
      <c r="O16" s="2" t="n"/>
      <c r="P16" s="2" t="n"/>
      <c r="Q16" s="2" t="n"/>
    </row>
    <row r="17">
      <c r="A17" s="98" t="inlineStr">
        <is>
          <t xml:space="preserve">  CFO ΔAP (liability increase) = POSITIVE (source of cash)</t>
        </is>
      </c>
      <c r="B17" s="2" t="n"/>
      <c r="C17" s="2" t="n"/>
      <c r="D17" s="2" t="n"/>
      <c r="E17" s="2" t="n"/>
      <c r="F17" s="2" t="n"/>
      <c r="G17" s="2" t="n"/>
      <c r="H17" s="2" t="n"/>
      <c r="I17" s="2" t="n"/>
      <c r="J17" s="2" t="n"/>
      <c r="K17" s="2" t="n"/>
      <c r="L17" s="2" t="n"/>
      <c r="M17" s="2" t="n"/>
      <c r="N17" s="2" t="n"/>
      <c r="O17" s="2" t="n"/>
      <c r="P17" s="2" t="n"/>
      <c r="Q17" s="2" t="n"/>
    </row>
    <row r="18">
      <c r="A18" s="98" t="inlineStr">
        <is>
          <t xml:space="preserve">  CFI Capex = NEGATIVE outflow (stored as positive in row 14, sign on FCF formula)</t>
        </is>
      </c>
      <c r="B18" s="2" t="n"/>
      <c r="C18" s="2" t="n"/>
      <c r="D18" s="2" t="n"/>
      <c r="E18" s="2" t="n"/>
      <c r="F18" s="2" t="n"/>
      <c r="G18" s="2" t="n"/>
      <c r="H18" s="2" t="n"/>
      <c r="I18" s="2" t="n"/>
      <c r="J18" s="2" t="n"/>
      <c r="K18" s="2" t="n"/>
      <c r="L18" s="2" t="n"/>
      <c r="M18" s="2" t="n"/>
      <c r="N18" s="2" t="n"/>
      <c r="O18" s="2" t="n"/>
      <c r="P18" s="2" t="n"/>
      <c r="Q18" s="2" t="n"/>
    </row>
    <row r="19">
      <c r="A19" s="98" t="inlineStr">
        <is>
          <t xml:space="preserve">  CFF Dividend / Buyback stored as POSITIVE (outflow); FCF = -Div - Buyback + DebtIss</t>
        </is>
      </c>
      <c r="B19" s="2" t="n"/>
      <c r="C19" s="2" t="n"/>
      <c r="D19" s="2" t="n"/>
      <c r="E19" s="2" t="n"/>
      <c r="F19" s="2" t="n"/>
      <c r="G19" s="2" t="n"/>
      <c r="H19" s="2" t="n"/>
      <c r="I19" s="2" t="n"/>
      <c r="J19" s="2" t="n"/>
      <c r="K19" s="2" t="n"/>
      <c r="L19" s="2" t="n"/>
      <c r="M19" s="2" t="n"/>
      <c r="N19" s="2" t="n"/>
      <c r="O19" s="2" t="n"/>
      <c r="P19" s="2" t="n"/>
      <c r="Q19" s="2" t="n"/>
    </row>
    <row r="20">
      <c r="A20" s="98" t="inlineStr">
        <is>
          <t xml:space="preserve">  Cash tie: BS Cash[N] = BS Cash[N-1] + CF (OCF + ICF + FCF)</t>
        </is>
      </c>
      <c r="B20" s="2" t="n"/>
      <c r="C20" s="2" t="n"/>
      <c r="D20" s="2" t="n"/>
      <c r="E20" s="2" t="n"/>
      <c r="F20" s="2" t="n"/>
      <c r="G20" s="2" t="n"/>
      <c r="H20" s="2" t="n"/>
      <c r="I20" s="2" t="n"/>
      <c r="J20" s="2" t="n"/>
      <c r="K20" s="2" t="n"/>
      <c r="L20" s="2" t="n"/>
      <c r="M20" s="2" t="n"/>
      <c r="N20" s="2" t="n"/>
      <c r="O20" s="2" t="n"/>
      <c r="P20" s="2" t="n"/>
      <c r="Q20" s="2" t="n"/>
    </row>
    <row r="21">
      <c r="A21" s="98" t="inlineStr">
        <is>
          <t xml:space="preserve">  RE roll: BS RE[N] = BS RE[N-1] + PL NI[N] - CF Div[N] - CF Buyback[N]</t>
        </is>
      </c>
      <c r="B21" s="2" t="n"/>
      <c r="C21" s="2" t="n"/>
      <c r="D21" s="2" t="n"/>
      <c r="E21" s="2" t="n"/>
      <c r="F21" s="2" t="n"/>
      <c r="G21" s="2" t="n"/>
      <c r="H21" s="2" t="n"/>
      <c r="I21" s="2" t="n"/>
      <c r="J21" s="2" t="n"/>
      <c r="K21" s="2" t="n"/>
      <c r="L21" s="2" t="n"/>
      <c r="M21" s="2" t="n"/>
      <c r="N21" s="2" t="n"/>
      <c r="O21" s="2" t="n"/>
      <c r="P21" s="2" t="n"/>
      <c r="Q21"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2026-09-28T15:01:08Z</dcterms:created>
  <dcterms:modified xmlns:dcterms="http://purl.org/dc/terms/" xmlns:xsi="http://www.w3.org/2001/XMLSchema-instance" xsi:type="dcterms:W3CDTF">2026-09-28T15:01:46Z</dcterms:modified>
</cp:coreProperties>
</file>