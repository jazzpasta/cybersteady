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enarios" sheetId="1" state="visible" r:id="rId1"/>
    <sheet xmlns:r="http://schemas.openxmlformats.org/officeDocument/2006/relationships" name="FS" sheetId="2" state="visible" r:id="rId2"/>
    <sheet xmlns:r="http://schemas.openxmlformats.org/officeDocument/2006/relationships" name="Valuation" sheetId="3" state="visible" r:id="rId3"/>
    <sheet xmlns:r="http://schemas.openxmlformats.org/officeDocument/2006/relationships" name="Comp" sheetId="4" state="visible" r:id="rId4"/>
    <sheet xmlns:r="http://schemas.openxmlformats.org/officeDocument/2006/relationships" name="Summary" sheetId="5" state="visible" r:id="rId5"/>
    <sheet xmlns:r="http://schemas.openxmlformats.org/officeDocument/2006/relationships" name="Customers" sheetId="6" state="visible" r:id="rId6"/>
    <sheet xmlns:r="http://schemas.openxmlformats.org/officeDocument/2006/relationships" name="Cycle" sheetId="7" state="visible" r:id="rId7"/>
  </sheets>
  <definedNames/>
  <calcPr calcId="124519" fullCalcOnLoad="1"/>
</workbook>
</file>

<file path=xl/styles.xml><?xml version="1.0" encoding="utf-8"?>
<styleSheet xmlns="http://schemas.openxmlformats.org/spreadsheetml/2006/main">
  <numFmts count="16">
    <numFmt numFmtId="164" formatCode="0.0_);[Red](0.0);&quot;–&quot;"/>
    <numFmt numFmtId="165" formatCode="#,##0.0_);[Red](#,##0.0);&quot;–&quot;"/>
    <numFmt numFmtId="166" formatCode="0.0%"/>
    <numFmt numFmtId="167" formatCode="0.00_);[Red](0.00);&quot;–&quot;"/>
    <numFmt numFmtId="168" formatCode="0_);[Red](0);&quot;–&quot;"/>
    <numFmt numFmtId="169" formatCode="_(* #,##0.0_);_(* (#,##0.0);&quot;OK!&quot;;&quot;ERROR&quot;"/>
    <numFmt numFmtId="170" formatCode="#,##0_);[Red](#,##0);&quot;–&quot;"/>
    <numFmt numFmtId="171" formatCode="0.000"/>
    <numFmt numFmtId="172" formatCode="0.0&quot;x&quot;_);[Red](0.0&quot;x&quot;);&quot;–&quot;"/>
    <numFmt numFmtId="173" formatCode="0.0000"/>
    <numFmt numFmtId="174" formatCode="0.00&quot;x&quot;"/>
    <numFmt numFmtId="175" formatCode="0.0&quot;x&quot;"/>
    <numFmt numFmtId="176" formatCode="0.0"/>
    <numFmt numFmtId="177" formatCode="0.0;[Red]-0.0;&quot;OK&quot;"/>
    <numFmt numFmtId="178" formatCode="0.000_);[Red](0.000);&quot;–&quot;"/>
    <numFmt numFmtId="179" formatCode="0.0%_);[Red](0.0%);&quot;–&quot;"/>
  </numFmts>
  <fonts count="36">
    <font>
      <name val="Calibri"/>
      <family val="2"/>
      <color theme="1"/>
      <sz val="11"/>
      <scheme val="minor"/>
    </font>
    <font>
      <b val="1"/>
      <sz val="14"/>
    </font>
    <font>
      <i val="1"/>
      <color rgb="00808080"/>
      <sz val="10"/>
    </font>
    <font>
      <b val="1"/>
      <sz val="12"/>
    </font>
    <font>
      <name val="Arial"/>
      <b val="1"/>
      <color rgb="00FFFFFF"/>
    </font>
    <font>
      <name val="Arial"/>
      <b val="1"/>
    </font>
    <font>
      <name val="Arial"/>
      <color rgb="001F4FD1"/>
    </font>
    <font>
      <name val="Arial"/>
      <i val="1"/>
      <color rgb="000F7A3D"/>
    </font>
    <font>
      <name val="Arial"/>
      <b val="1"/>
      <color rgb="001F2933"/>
    </font>
    <font>
      <name val="Arial"/>
      <color rgb="001F2933"/>
    </font>
    <font>
      <b val="1"/>
      <sz val="11"/>
    </font>
    <font>
      <name val="Arial"/>
      <i val="1"/>
      <color rgb="001F2933"/>
    </font>
    <font>
      <name val="Arial"/>
      <color rgb="000F7A3D"/>
    </font>
    <font>
      <name val="Arial"/>
      <b val="1"/>
      <color rgb="000F7A3D"/>
    </font>
    <font>
      <i val="1"/>
      <color rgb="00595959"/>
    </font>
    <font>
      <color rgb="000000FF"/>
    </font>
    <font>
      <name val="Arial"/>
      <b val="1"/>
      <color rgb="001F4FD1"/>
    </font>
    <font>
      <name val="Arial"/>
      <b val="1"/>
      <i val="1"/>
      <color rgb="001F2933"/>
    </font>
    <font>
      <b val="1"/>
      <color rgb="001F4FD1"/>
    </font>
    <font>
      <color rgb="001F4FD1"/>
    </font>
    <font>
      <i val="1"/>
      <color rgb="00808080"/>
      <sz val="9"/>
    </font>
    <font>
      <color rgb="00404040"/>
      <sz val="9"/>
    </font>
    <font>
      <i val="1"/>
    </font>
    <font>
      <i val="1"/>
      <color rgb="00808080"/>
    </font>
    <font>
      <sz val="9"/>
    </font>
    <font>
      <b val="1"/>
      <color rgb="001F4FD1"/>
      <sz val="12"/>
    </font>
    <font>
      <name val="Arial"/>
      <b val="1"/>
      <sz val="14"/>
    </font>
    <font>
      <name val="Arial"/>
      <i val="1"/>
      <color rgb="007F7F7F"/>
    </font>
    <font>
      <name val="Arial"/>
      <color theme="1"/>
      <sz val="11"/>
    </font>
    <font>
      <name val="Arial"/>
      <b val="1"/>
      <sz val="12"/>
    </font>
    <font>
      <name val="Arial"/>
      <b val="1"/>
      <sz val="11"/>
    </font>
    <font>
      <name val="Arial"/>
      <i val="1"/>
      <color rgb="00595959"/>
    </font>
    <font>
      <name val="Arial"/>
      <color rgb="000000FF"/>
    </font>
    <font>
      <name val="Arial"/>
      <i val="1"/>
      <color rgb="00808080"/>
      <sz val="9"/>
    </font>
    <font>
      <name val="Arial"/>
      <i val="1"/>
      <color rgb="00808080"/>
      <sz val="10"/>
    </font>
    <font>
      <name val="Arial"/>
      <color rgb="00404040"/>
      <sz val="9"/>
    </font>
  </fonts>
  <fills count="7">
    <fill>
      <patternFill/>
    </fill>
    <fill>
      <patternFill patternType="gray125"/>
    </fill>
    <fill>
      <patternFill patternType="solid">
        <fgColor rgb="00DCE6F4"/>
      </patternFill>
    </fill>
    <fill>
      <patternFill patternType="solid">
        <fgColor rgb="001F3A5F"/>
      </patternFill>
    </fill>
    <fill>
      <patternFill patternType="solid">
        <fgColor rgb="002E5598"/>
      </patternFill>
    </fill>
    <fill>
      <patternFill patternType="solid">
        <fgColor rgb="00DDEBF7"/>
      </patternFill>
    </fill>
    <fill>
      <patternFill patternType="solid">
        <fgColor rgb="00FFF3C4"/>
      </patternFill>
    </fill>
  </fills>
  <borders count="1">
    <border>
      <left/>
      <right/>
      <top/>
      <bottom/>
      <diagonal/>
    </border>
  </borders>
  <cellStyleXfs count="1">
    <xf numFmtId="0" fontId="0" fillId="0" borderId="0"/>
  </cellStyleXfs>
  <cellXfs count="97">
    <xf numFmtId="0" fontId="0" fillId="0" borderId="0" pivotButton="0" quotePrefix="0" xfId="0"/>
    <xf numFmtId="0" fontId="26" fillId="0" borderId="0" pivotButton="0" quotePrefix="0" xfId="0"/>
    <xf numFmtId="0" fontId="28" fillId="0" borderId="0" pivotButton="0" quotePrefix="0" xfId="0"/>
    <xf numFmtId="0" fontId="5" fillId="0" borderId="0" pivotButton="0" quotePrefix="0" xfId="0"/>
    <xf numFmtId="1" fontId="6" fillId="6" borderId="0" pivotButton="0" quotePrefix="0" xfId="0"/>
    <xf numFmtId="49" fontId="8" fillId="0" borderId="0" pivotButton="0" quotePrefix="0" xfId="0"/>
    <xf numFmtId="0" fontId="4" fillId="3" borderId="0" pivotButton="0" quotePrefix="0" xfId="0"/>
    <xf numFmtId="165" fontId="12" fillId="0" borderId="0" pivotButton="0" quotePrefix="0" xfId="0"/>
    <xf numFmtId="165" fontId="6" fillId="0" borderId="0" pivotButton="0" quotePrefix="0" xfId="0"/>
    <xf numFmtId="165" fontId="13" fillId="0" borderId="0" pivotButton="0" quotePrefix="0" xfId="0"/>
    <xf numFmtId="164" fontId="11" fillId="0" borderId="0" pivotButton="0" quotePrefix="0" xfId="0"/>
    <xf numFmtId="167" fontId="6" fillId="0" borderId="0" pivotButton="0" quotePrefix="0" xfId="0"/>
    <xf numFmtId="167" fontId="12" fillId="0" borderId="0" pivotButton="0" quotePrefix="0" xfId="0"/>
    <xf numFmtId="170" fontId="6" fillId="0" borderId="0" pivotButton="0" quotePrefix="0" xfId="0"/>
    <xf numFmtId="170" fontId="12" fillId="0" borderId="0" pivotButton="0" quotePrefix="0" xfId="0"/>
    <xf numFmtId="172" fontId="6" fillId="0" borderId="0" pivotButton="0" quotePrefix="0" xfId="0"/>
    <xf numFmtId="172" fontId="9" fillId="0" borderId="0" pivotButton="0" quotePrefix="0" xfId="0"/>
    <xf numFmtId="178" fontId="6" fillId="0" borderId="0" pivotButton="0" quotePrefix="0" xfId="0"/>
    <xf numFmtId="178" fontId="9" fillId="0" borderId="0" pivotButton="0" quotePrefix="0" xfId="0"/>
    <xf numFmtId="2" fontId="6" fillId="0" borderId="0" pivotButton="0" quotePrefix="0" xfId="0"/>
    <xf numFmtId="2" fontId="9" fillId="0" borderId="0" pivotButton="0" quotePrefix="0" xfId="0"/>
    <xf numFmtId="170" fontId="8" fillId="0" borderId="0" pivotButton="0" quotePrefix="0" xfId="0"/>
    <xf numFmtId="179" fontId="11" fillId="0" borderId="0" pivotButton="0" quotePrefix="0" xfId="0"/>
    <xf numFmtId="179" fontId="17" fillId="0" borderId="0" pivotButton="0" quotePrefix="0" xfId="0"/>
    <xf numFmtId="170" fontId="9" fillId="0" borderId="0" pivotButton="0" quotePrefix="0" xfId="0"/>
    <xf numFmtId="2" fontId="8" fillId="0" borderId="0" pivotButton="0" quotePrefix="0" xfId="0"/>
    <xf numFmtId="176" fontId="6" fillId="0" borderId="0" pivotButton="0" quotePrefix="0" xfId="0"/>
    <xf numFmtId="176" fontId="8" fillId="0" borderId="0" pivotButton="0" quotePrefix="0" xfId="0"/>
    <xf numFmtId="1" fontId="6" fillId="0" borderId="0" pivotButton="0" quotePrefix="0" xfId="0"/>
    <xf numFmtId="1" fontId="8" fillId="0" borderId="0" pivotButton="0" quotePrefix="0" xfId="0"/>
    <xf numFmtId="0" fontId="27" fillId="0" borderId="0" pivotButton="0" quotePrefix="0" xfId="0"/>
    <xf numFmtId="164" fontId="6" fillId="0" borderId="0" pivotButton="0" quotePrefix="0" xfId="0"/>
    <xf numFmtId="164" fontId="17" fillId="6" borderId="0" pivotButton="0" quotePrefix="0" xfId="0"/>
    <xf numFmtId="165" fontId="9" fillId="0" borderId="0" pivotButton="0" quotePrefix="0" xfId="0"/>
    <xf numFmtId="165" fontId="8" fillId="0" borderId="0" pivotButton="0" quotePrefix="0" xfId="0"/>
    <xf numFmtId="171" fontId="6" fillId="6" borderId="0" pivotButton="0" quotePrefix="0" xfId="0"/>
    <xf numFmtId="2" fontId="6" fillId="6" borderId="0" pivotButton="0" quotePrefix="0" xfId="0"/>
    <xf numFmtId="176" fontId="6" fillId="6" borderId="0" pivotButton="0" quotePrefix="0" xfId="0"/>
    <xf numFmtId="171" fontId="6" fillId="0" borderId="0" pivotButton="0" quotePrefix="0" xfId="0"/>
    <xf numFmtId="171" fontId="9" fillId="0" borderId="0" pivotButton="0" quotePrefix="0" xfId="0"/>
    <xf numFmtId="176" fontId="9" fillId="0" borderId="0" pivotButton="0" quotePrefix="0" xfId="0"/>
    <xf numFmtId="1" fontId="9" fillId="0" borderId="0" pivotButton="0" quotePrefix="0" xfId="0"/>
    <xf numFmtId="0" fontId="29" fillId="2" borderId="0" pivotButton="0" quotePrefix="0" xfId="0"/>
    <xf numFmtId="0" fontId="4" fillId="3" borderId="0" applyAlignment="1" pivotButton="0" quotePrefix="0" xfId="0">
      <alignment horizontal="center"/>
    </xf>
    <xf numFmtId="0" fontId="4" fillId="5" borderId="0" applyAlignment="1" pivotButton="0" quotePrefix="0" xfId="0">
      <alignment horizontal="center"/>
    </xf>
    <xf numFmtId="165" fontId="9" fillId="5" borderId="0" pivotButton="0" quotePrefix="0" xfId="0"/>
    <xf numFmtId="165" fontId="8" fillId="5" borderId="0" pivotButton="0" quotePrefix="0" xfId="0"/>
    <xf numFmtId="166" fontId="6" fillId="0" borderId="0" pivotButton="0" quotePrefix="0" xfId="0"/>
    <xf numFmtId="0" fontId="30" fillId="0" borderId="0" pivotButton="0" quotePrefix="0" xfId="0"/>
    <xf numFmtId="0" fontId="4" fillId="4" borderId="0" applyAlignment="1" pivotButton="0" quotePrefix="0" xfId="0">
      <alignment horizontal="center"/>
    </xf>
    <xf numFmtId="0" fontId="4" fillId="2" borderId="0" applyAlignment="1" pivotButton="0" quotePrefix="0" xfId="0">
      <alignment horizontal="center"/>
    </xf>
    <xf numFmtId="165" fontId="12" fillId="5" borderId="0" pivotButton="0" quotePrefix="0" xfId="0"/>
    <xf numFmtId="166" fontId="11" fillId="0" borderId="0" pivotButton="0" quotePrefix="0" xfId="0"/>
    <xf numFmtId="0" fontId="31" fillId="0" borderId="0" pivotButton="0" quotePrefix="0" xfId="0"/>
    <xf numFmtId="164" fontId="11" fillId="5" borderId="0" pivotButton="0" quotePrefix="0" xfId="0"/>
    <xf numFmtId="165" fontId="13" fillId="5" borderId="0" pivotButton="0" quotePrefix="0" xfId="0"/>
    <xf numFmtId="164" fontId="7" fillId="0" borderId="0" pivotButton="0" quotePrefix="0" xfId="0"/>
    <xf numFmtId="167" fontId="9" fillId="0" borderId="0" pivotButton="0" quotePrefix="0" xfId="0"/>
    <xf numFmtId="167" fontId="8" fillId="5" borderId="0" pivotButton="0" quotePrefix="0" xfId="0"/>
    <xf numFmtId="167" fontId="9" fillId="5" borderId="0" pivotButton="0" quotePrefix="0" xfId="0"/>
    <xf numFmtId="165" fontId="16" fillId="0" borderId="0" pivotButton="0" quotePrefix="0" xfId="0"/>
    <xf numFmtId="169" fontId="9" fillId="0" borderId="0" pivotButton="0" quotePrefix="0" xfId="0"/>
    <xf numFmtId="0" fontId="5" fillId="2" borderId="0" pivotButton="0" quotePrefix="0" xfId="0"/>
    <xf numFmtId="168" fontId="12" fillId="0" borderId="0" pivotButton="0" quotePrefix="0" xfId="0"/>
    <xf numFmtId="168" fontId="32" fillId="5" borderId="0" pivotButton="0" quotePrefix="0" xfId="0"/>
    <xf numFmtId="168" fontId="9" fillId="5" borderId="0" pivotButton="0" quotePrefix="0" xfId="0"/>
    <xf numFmtId="168" fontId="12" fillId="6" borderId="0" pivotButton="0" quotePrefix="0" xfId="0"/>
    <xf numFmtId="165" fontId="16" fillId="5" borderId="0" pivotButton="0" quotePrefix="0" xfId="0"/>
    <xf numFmtId="164" fontId="6" fillId="6" borderId="0" pivotButton="0" quotePrefix="0" xfId="0"/>
    <xf numFmtId="0" fontId="33" fillId="0" borderId="0" pivotButton="0" quotePrefix="0" xfId="0"/>
    <xf numFmtId="168" fontId="6" fillId="6" borderId="0" pivotButton="0" quotePrefix="0" xfId="0"/>
    <xf numFmtId="165" fontId="6" fillId="6" borderId="0" pivotButton="0" quotePrefix="0" xfId="0"/>
    <xf numFmtId="3" fontId="6" fillId="6" borderId="0" pivotButton="0" quotePrefix="0" xfId="0"/>
    <xf numFmtId="173" fontId="6" fillId="6" borderId="0" pivotButton="0" quotePrefix="0" xfId="0"/>
    <xf numFmtId="0" fontId="34" fillId="0" borderId="0" pivotButton="0" quotePrefix="0" xfId="0"/>
    <xf numFmtId="164" fontId="17" fillId="0" borderId="0" pivotButton="0" quotePrefix="0" xfId="0"/>
    <xf numFmtId="170" fontId="16" fillId="0" borderId="0" pivotButton="0" quotePrefix="0" xfId="0"/>
    <xf numFmtId="167" fontId="8" fillId="0" borderId="0" pivotButton="0" quotePrefix="0" xfId="0"/>
    <xf numFmtId="2" fontId="16" fillId="6" borderId="0" pivotButton="0" quotePrefix="0" xfId="0"/>
    <xf numFmtId="167" fontId="13" fillId="0" borderId="0" pivotButton="0" quotePrefix="0" xfId="0"/>
    <xf numFmtId="167" fontId="8" fillId="6" borderId="0" pivotButton="0" quotePrefix="0" xfId="0"/>
    <xf numFmtId="2" fontId="12" fillId="0" borderId="0" pivotButton="0" quotePrefix="0" xfId="0"/>
    <xf numFmtId="0" fontId="26" fillId="2" borderId="0" pivotButton="0" quotePrefix="0" xfId="0"/>
    <xf numFmtId="49" fontId="9" fillId="0" borderId="0" pivotButton="0" quotePrefix="0" xfId="0"/>
    <xf numFmtId="49" fontId="26" fillId="0" borderId="0" pivotButton="0" quotePrefix="0" xfId="0"/>
    <xf numFmtId="0" fontId="29" fillId="0" borderId="0" pivotButton="0" quotePrefix="0" xfId="0"/>
    <xf numFmtId="0" fontId="5" fillId="6" borderId="0" pivotButton="0" quotePrefix="0" xfId="0"/>
    <xf numFmtId="170" fontId="16" fillId="6" borderId="0" pivotButton="0" quotePrefix="0" xfId="0"/>
    <xf numFmtId="167" fontId="16" fillId="6" borderId="0" pivotButton="0" quotePrefix="0" xfId="0"/>
    <xf numFmtId="172" fontId="16" fillId="6" borderId="0" pivotButton="0" quotePrefix="0" xfId="0"/>
    <xf numFmtId="164" fontId="16" fillId="6" borderId="0" pivotButton="0" quotePrefix="0" xfId="0"/>
    <xf numFmtId="172" fontId="5" fillId="0" borderId="0" pivotButton="0" quotePrefix="0" xfId="0"/>
    <xf numFmtId="164" fontId="5" fillId="0" borderId="0" pivotButton="0" quotePrefix="0" xfId="0"/>
    <xf numFmtId="165" fontId="6" fillId="5" borderId="0" pivotButton="0" quotePrefix="0" xfId="0"/>
    <xf numFmtId="164" fontId="6" fillId="5" borderId="0" pivotButton="0" quotePrefix="0" xfId="0"/>
    <xf numFmtId="167" fontId="6" fillId="5" borderId="0" pivotButton="0" quotePrefix="0" xfId="0"/>
    <xf numFmtId="0" fontId="3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c r="A1" s="1" t="inlineStr">
        <is>
          <t>Sumitomo Rubber Industries 51100 — Scenarios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c r="A2" s="2" t="inlineStr">
        <is>
          <t>Pick a case in B4. Drivers growth + OPM rows follow the pick, so PL / BS / CF / Valuation all recompute. Columns B.. are each case's reference output; the last column is the live model for the picked case.</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4">
      <c r="A4" s="3" t="inlineStr">
        <is>
          <t>Case  (1=Bull / 2=Base / 3=Bear)</t>
        </is>
      </c>
      <c r="B4" s="4" t="n">
        <v>2</v>
      </c>
      <c r="C4" s="5">
        <f>CHOOSE($B$4,"Bull","Base","Bear")</f>
        <v/>
      </c>
      <c r="D4" s="2" t="n"/>
      <c r="E4" s="2" t="n"/>
      <c r="F4" s="2" t="n"/>
      <c r="G4" s="2" t="n"/>
      <c r="H4" s="2" t="n"/>
      <c r="I4" s="2" t="n"/>
      <c r="J4" s="2" t="n"/>
      <c r="K4" s="2" t="n"/>
      <c r="L4" s="2" t="n"/>
      <c r="M4" s="2" t="n"/>
      <c r="N4" s="2" t="n"/>
      <c r="O4" s="2" t="n"/>
      <c r="P4" s="2" t="n"/>
      <c r="Q4" s="2" t="n"/>
      <c r="R4" s="2" t="n"/>
      <c r="S4" s="2" t="n"/>
      <c r="T4" s="2" t="n"/>
      <c r="U4" s="2" t="n"/>
      <c r="V4" s="2" t="n"/>
      <c r="W4" s="2" t="n"/>
      <c r="X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row>
    <row r="6">
      <c r="A6" s="2" t="inlineStr"/>
      <c r="B6" s="6" t="inlineStr">
        <is>
          <t>Bull</t>
        </is>
      </c>
      <c r="C6" s="6" t="inlineStr">
        <is>
          <t>Base</t>
        </is>
      </c>
      <c r="D6" s="6" t="inlineStr">
        <is>
          <t>Bear</t>
        </is>
      </c>
      <c r="E6" s="6" t="inlineStr">
        <is>
          <t>Live (picked)</t>
        </is>
      </c>
      <c r="F6" s="2" t="n"/>
      <c r="G6" s="2" t="n"/>
      <c r="H6" s="2" t="n"/>
      <c r="I6" s="2" t="n"/>
      <c r="J6" s="2" t="n"/>
      <c r="K6" s="2" t="n"/>
      <c r="L6" s="2" t="n"/>
      <c r="M6" s="2" t="n"/>
      <c r="N6" s="2" t="n"/>
      <c r="O6" s="2" t="n"/>
      <c r="P6" s="2" t="n"/>
      <c r="Q6" s="2" t="n"/>
      <c r="R6" s="2" t="n"/>
      <c r="S6" s="2" t="n"/>
      <c r="T6" s="2" t="n"/>
      <c r="U6" s="2" t="n"/>
      <c r="V6" s="2" t="n"/>
      <c r="W6" s="2" t="n"/>
      <c r="X6" s="2" t="n"/>
    </row>
    <row r="7">
      <c r="A7" s="2" t="inlineStr">
        <is>
          <t>FY26 OP (億) — live only</t>
        </is>
      </c>
      <c r="B7" s="2" t="n"/>
      <c r="C7" s="2" t="n"/>
      <c r="D7" s="2" t="n"/>
      <c r="E7" s="7">
        <f>FS!V9</f>
        <v/>
      </c>
      <c r="F7" s="2" t="n"/>
      <c r="G7" s="2" t="n"/>
      <c r="H7" s="2" t="n"/>
      <c r="I7" s="2" t="n"/>
      <c r="J7" s="2" t="n"/>
      <c r="K7" s="2" t="n"/>
      <c r="L7" s="2" t="n"/>
      <c r="M7" s="2" t="n"/>
      <c r="N7" s="2" t="n"/>
      <c r="O7" s="2" t="n"/>
      <c r="P7" s="2" t="n"/>
      <c r="Q7" s="2" t="n"/>
      <c r="R7" s="2" t="n"/>
      <c r="S7" s="2" t="n"/>
      <c r="T7" s="2" t="n"/>
      <c r="U7" s="2" t="n"/>
      <c r="V7" s="2" t="n"/>
      <c r="W7" s="2" t="n"/>
      <c r="X7" s="2" t="n"/>
    </row>
    <row r="8">
      <c r="A8" s="2" t="inlineStr">
        <is>
          <t>FY27 Sales (億) — live only</t>
        </is>
      </c>
      <c r="B8" s="2" t="n"/>
      <c r="C8" s="2" t="n"/>
      <c r="D8" s="2" t="n"/>
      <c r="E8" s="7">
        <f>FS!W4</f>
        <v/>
      </c>
      <c r="F8" s="2" t="n"/>
      <c r="G8" s="2" t="n"/>
      <c r="H8" s="2" t="n"/>
      <c r="I8" s="2" t="n"/>
      <c r="J8" s="2" t="n"/>
      <c r="K8" s="2" t="n"/>
      <c r="L8" s="2" t="n"/>
      <c r="M8" s="2" t="n"/>
      <c r="N8" s="2" t="n"/>
      <c r="O8" s="2" t="n"/>
      <c r="P8" s="2" t="n"/>
      <c r="Q8" s="2" t="n"/>
      <c r="R8" s="2" t="n"/>
      <c r="S8" s="2" t="n"/>
      <c r="T8" s="2" t="n"/>
      <c r="U8" s="2" t="n"/>
      <c r="V8" s="2" t="n"/>
      <c r="W8" s="2" t="n"/>
      <c r="X8" s="2" t="n"/>
    </row>
    <row r="9">
      <c r="A9" s="3" t="inlineStr">
        <is>
          <t>FY27 OP (億)</t>
        </is>
      </c>
      <c r="B9" s="8" t="n">
        <v>1022</v>
      </c>
      <c r="C9" s="8" t="n">
        <v>656</v>
      </c>
      <c r="D9" s="8" t="n">
        <v>506</v>
      </c>
      <c r="E9" s="9">
        <f>FS!W9</f>
        <v/>
      </c>
      <c r="F9" s="2" t="n"/>
      <c r="G9" s="2" t="n"/>
      <c r="H9" s="2" t="n"/>
      <c r="I9" s="2" t="n"/>
      <c r="J9" s="2" t="n"/>
      <c r="K9" s="2" t="n"/>
      <c r="L9" s="2" t="n"/>
      <c r="M9" s="2" t="n"/>
      <c r="N9" s="2" t="n"/>
      <c r="O9" s="2" t="n"/>
      <c r="P9" s="2" t="n"/>
      <c r="Q9" s="2" t="n"/>
      <c r="R9" s="2" t="n"/>
      <c r="S9" s="2" t="n"/>
      <c r="T9" s="2" t="n"/>
      <c r="U9" s="2" t="n"/>
      <c r="V9" s="2" t="n"/>
      <c r="W9" s="2" t="n"/>
      <c r="X9" s="2" t="n"/>
    </row>
    <row r="10">
      <c r="A10" s="2" t="inlineStr">
        <is>
          <t>FY27 OPM (%)</t>
        </is>
      </c>
      <c r="B10" s="2" t="n"/>
      <c r="C10" s="2" t="n"/>
      <c r="D10" s="2" t="n"/>
      <c r="E10" s="10">
        <f>E9/E8*100</f>
        <v/>
      </c>
      <c r="F10" s="2" t="n"/>
      <c r="G10" s="2" t="n"/>
      <c r="H10" s="2" t="n"/>
      <c r="I10" s="2" t="n"/>
      <c r="J10" s="2" t="n"/>
      <c r="K10" s="2" t="n"/>
      <c r="L10" s="2" t="n"/>
      <c r="M10" s="2" t="n"/>
      <c r="N10" s="2" t="n"/>
      <c r="O10" s="2" t="n"/>
      <c r="P10" s="2" t="n"/>
      <c r="Q10" s="2" t="n"/>
      <c r="R10" s="2" t="n"/>
      <c r="S10" s="2" t="n"/>
      <c r="T10" s="2" t="n"/>
      <c r="U10" s="2" t="n"/>
      <c r="V10" s="2" t="n"/>
      <c r="W10" s="2" t="n"/>
      <c r="X10" s="2" t="n"/>
    </row>
    <row r="11">
      <c r="A11" s="2" t="inlineStr">
        <is>
          <t>FY27 EPS (¥)</t>
        </is>
      </c>
      <c r="B11" s="11" t="n">
        <v>240.3</v>
      </c>
      <c r="C11" s="11" t="n">
        <v>154.2</v>
      </c>
      <c r="D11" s="11" t="n">
        <v>118.8</v>
      </c>
      <c r="E11" s="12">
        <f>FS!W22</f>
        <v/>
      </c>
      <c r="F11" s="2" t="n"/>
      <c r="G11" s="2" t="n"/>
      <c r="H11" s="2" t="n"/>
      <c r="I11" s="2" t="n"/>
      <c r="J11" s="2" t="n"/>
      <c r="K11" s="2" t="n"/>
      <c r="L11" s="2" t="n"/>
      <c r="M11" s="2" t="n"/>
      <c r="N11" s="2" t="n"/>
      <c r="O11" s="2" t="n"/>
      <c r="P11" s="2" t="n"/>
      <c r="Q11" s="2" t="n"/>
      <c r="R11" s="2" t="n"/>
      <c r="S11" s="2" t="n"/>
      <c r="T11" s="2" t="n"/>
      <c r="U11" s="2" t="n"/>
      <c r="V11" s="2" t="n"/>
      <c r="W11" s="2" t="n"/>
      <c r="X11" s="2" t="n"/>
    </row>
    <row r="12">
      <c r="A12" s="2" t="inlineStr">
        <is>
          <t>FY27 BPS (¥)</t>
        </is>
      </c>
      <c r="B12" s="13" t="n">
        <v>3041</v>
      </c>
      <c r="C12" s="13" t="n">
        <v>2977</v>
      </c>
      <c r="D12" s="13" t="n">
        <v>2952</v>
      </c>
      <c r="E12" s="14">
        <f>FS!O45*100/FS!O21</f>
        <v/>
      </c>
      <c r="F12" s="2" t="n"/>
      <c r="G12" s="2" t="n"/>
      <c r="H12" s="2" t="n"/>
      <c r="I12" s="2" t="n"/>
      <c r="J12" s="2" t="n"/>
      <c r="K12" s="2" t="n"/>
      <c r="L12" s="2" t="n"/>
      <c r="M12" s="2" t="n"/>
      <c r="N12" s="2" t="n"/>
      <c r="O12" s="2" t="n"/>
      <c r="P12" s="2" t="n"/>
      <c r="Q12" s="2" t="n"/>
      <c r="R12" s="2" t="n"/>
      <c r="S12" s="2" t="n"/>
      <c r="T12" s="2" t="n"/>
      <c r="U12" s="2" t="n"/>
      <c r="V12" s="2" t="n"/>
      <c r="W12" s="2" t="n"/>
      <c r="X12" s="2" t="n"/>
    </row>
    <row r="13">
      <c r="A13" s="2" t="inlineStr">
        <is>
          <t>P/E applied (x)</t>
        </is>
      </c>
      <c r="B13" s="15" t="n">
        <v>9.69</v>
      </c>
      <c r="C13" s="15" t="n">
        <v>9.69</v>
      </c>
      <c r="D13" s="2" t="n"/>
      <c r="E13" s="16">
        <f>N(CHOOSE($B$4,B13,C13,D13))</f>
        <v/>
      </c>
      <c r="F13" s="2" t="n"/>
      <c r="G13" s="2" t="n"/>
      <c r="H13" s="2" t="n"/>
      <c r="I13" s="2" t="n"/>
      <c r="J13" s="2" t="n"/>
      <c r="K13" s="2" t="n"/>
      <c r="L13" s="2" t="n"/>
      <c r="M13" s="2" t="n"/>
      <c r="N13" s="2" t="n"/>
      <c r="O13" s="2" t="n"/>
      <c r="P13" s="2" t="n"/>
      <c r="Q13" s="2" t="n"/>
      <c r="R13" s="2" t="n"/>
      <c r="S13" s="2" t="n"/>
      <c r="T13" s="2" t="n"/>
      <c r="U13" s="2" t="n"/>
      <c r="V13" s="2" t="n"/>
      <c r="W13" s="2" t="n"/>
      <c r="X13" s="2" t="n"/>
    </row>
    <row r="14">
      <c r="A14" s="2" t="inlineStr">
        <is>
          <t>P/B applied (x)</t>
        </is>
      </c>
      <c r="B14" s="17" t="n">
        <v>0.926</v>
      </c>
      <c r="C14" s="17" t="n">
        <v>0.774</v>
      </c>
      <c r="D14" s="17" t="n">
        <v>0.5</v>
      </c>
      <c r="E14" s="18">
        <f>N(CHOOSE($B$4,B14,C14,D14))</f>
        <v/>
      </c>
      <c r="F14" s="2" t="n"/>
      <c r="G14" s="2" t="n"/>
      <c r="H14" s="2" t="n"/>
      <c r="I14" s="2" t="n"/>
      <c r="J14" s="2" t="n"/>
      <c r="K14" s="2" t="n"/>
      <c r="L14" s="2" t="n"/>
      <c r="M14" s="2" t="n"/>
      <c r="N14" s="2" t="n"/>
      <c r="O14" s="2" t="n"/>
      <c r="P14" s="2" t="n"/>
      <c r="Q14" s="2" t="n"/>
      <c r="R14" s="2" t="n"/>
      <c r="S14" s="2" t="n"/>
      <c r="T14" s="2" t="n"/>
      <c r="U14" s="2" t="n"/>
      <c r="V14" s="2" t="n"/>
      <c r="W14" s="2" t="n"/>
      <c r="X14" s="2" t="n"/>
    </row>
    <row r="15">
      <c r="A15" s="2" t="inlineStr">
        <is>
          <t>Weight on P/E (0 = P/B only)</t>
        </is>
      </c>
      <c r="B15" s="19" t="n">
        <v>0.5</v>
      </c>
      <c r="C15" s="19" t="n">
        <v>0.5</v>
      </c>
      <c r="D15" s="19" t="n">
        <v>0</v>
      </c>
      <c r="E15" s="20">
        <f>N(CHOOSE($B$4,B15,C15,D15))</f>
        <v/>
      </c>
      <c r="F15" s="2" t="n"/>
      <c r="G15" s="2" t="n"/>
      <c r="H15" s="2" t="n"/>
      <c r="I15" s="2" t="n"/>
      <c r="J15" s="2" t="n"/>
      <c r="K15" s="2" t="n"/>
      <c r="L15" s="2" t="n"/>
      <c r="M15" s="2" t="n"/>
      <c r="N15" s="2" t="n"/>
      <c r="O15" s="2" t="n"/>
      <c r="P15" s="2" t="n"/>
      <c r="Q15" s="2" t="n"/>
      <c r="R15" s="2" t="n"/>
      <c r="S15" s="2" t="n"/>
      <c r="T15" s="2" t="n"/>
      <c r="U15" s="2" t="n"/>
      <c r="V15" s="2" t="n"/>
      <c r="W15" s="2" t="n"/>
      <c r="X15" s="2" t="n"/>
    </row>
    <row r="16">
      <c r="A16" s="3" t="inlineStr">
        <is>
          <t>Target price (¥)</t>
        </is>
      </c>
      <c r="B16" s="13" t="n">
        <v>2573</v>
      </c>
      <c r="C16" s="13" t="n">
        <v>1899</v>
      </c>
      <c r="D16" s="13" t="n">
        <v>1476</v>
      </c>
      <c r="E16" s="21">
        <f>IF(E15&gt;0,E15*E11*E13+(1-E15)*E12*E14,E12*E14)</f>
        <v/>
      </c>
      <c r="F16" s="2" t="n"/>
      <c r="G16" s="2" t="n"/>
      <c r="H16" s="2" t="n"/>
      <c r="I16" s="2" t="n"/>
      <c r="J16" s="2" t="n"/>
      <c r="K16" s="2" t="n"/>
      <c r="L16" s="2" t="n"/>
      <c r="M16" s="2" t="n"/>
      <c r="N16" s="2" t="n"/>
      <c r="O16" s="2" t="n"/>
      <c r="P16" s="2" t="n"/>
      <c r="Q16" s="2" t="n"/>
      <c r="R16" s="2" t="n"/>
      <c r="S16" s="2" t="n"/>
      <c r="T16" s="2" t="n"/>
      <c r="U16" s="2" t="n"/>
      <c r="V16" s="2" t="n"/>
      <c r="W16" s="2" t="n"/>
      <c r="X16" s="2" t="n"/>
    </row>
    <row r="17">
      <c r="A17" s="2" t="inlineStr">
        <is>
          <t>vs price</t>
        </is>
      </c>
      <c r="B17" s="22">
        <f>IF(B18&gt;0,B16/B18-1,"")</f>
        <v/>
      </c>
      <c r="C17" s="22">
        <f>IF(C18&gt;0,C16/C18-1,"")</f>
        <v/>
      </c>
      <c r="D17" s="22">
        <f>IF(D18&gt;0,D16/D18-1,"")</f>
        <v/>
      </c>
      <c r="E17" s="23">
        <f>IF(E18&gt;0,E16/E18-1,"")</f>
        <v/>
      </c>
      <c r="F17" s="2" t="n"/>
      <c r="G17" s="2" t="n"/>
      <c r="H17" s="2" t="n"/>
      <c r="I17" s="2" t="n"/>
      <c r="J17" s="2" t="n"/>
      <c r="K17" s="2" t="n"/>
      <c r="L17" s="2" t="n"/>
      <c r="M17" s="2" t="n"/>
      <c r="N17" s="2" t="n"/>
      <c r="O17" s="2" t="n"/>
      <c r="P17" s="2" t="n"/>
      <c r="Q17" s="2" t="n"/>
      <c r="R17" s="2" t="n"/>
      <c r="S17" s="2" t="n"/>
      <c r="T17" s="2" t="n"/>
      <c r="U17" s="2" t="n"/>
      <c r="V17" s="2" t="n"/>
      <c r="W17" s="2" t="n"/>
      <c r="X17" s="2" t="n"/>
    </row>
    <row r="18">
      <c r="A18" s="3" t="inlineStr">
        <is>
          <t>View</t>
        </is>
      </c>
      <c r="B18" s="13" t="n">
        <v>2036</v>
      </c>
      <c r="C18" s="13" t="n">
        <v>2036</v>
      </c>
      <c r="D18" s="13" t="n">
        <v>2036</v>
      </c>
      <c r="E18" s="24">
        <f>N(CHOOSE($B$4,B18,C18,D18))</f>
        <v/>
      </c>
      <c r="F18" s="2" t="n"/>
      <c r="G18" s="2" t="n"/>
      <c r="H18" s="2" t="n"/>
      <c r="I18" s="2" t="n"/>
      <c r="J18" s="2" t="n"/>
      <c r="K18" s="2" t="n"/>
      <c r="L18" s="2" t="n"/>
      <c r="M18" s="2" t="n"/>
      <c r="N18" s="2" t="n"/>
      <c r="O18" s="2" t="n"/>
      <c r="P18" s="2" t="n"/>
      <c r="Q18" s="2" t="n"/>
      <c r="R18" s="2" t="n"/>
      <c r="S18" s="2" t="n"/>
      <c r="T18" s="2" t="n"/>
      <c r="U18" s="2" t="n"/>
      <c r="V18" s="2" t="n"/>
      <c r="W18" s="2" t="n"/>
      <c r="X18" s="2" t="n"/>
    </row>
    <row r="19">
      <c r="A19" s="2" t="inlineStr">
        <is>
          <t xml:space="preserve">  1. Bull</t>
        </is>
      </c>
      <c r="B19" s="2" t="inlineStr">
        <is>
          <t>DUNLOP succeeds, oil settles -&gt; business margin ~8% (still short of the 10% MTP)</t>
        </is>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row>
    <row r="20">
      <c r="A20" s="2" t="inlineStr">
        <is>
          <t xml:space="preserve">  2. Base</t>
        </is>
      </c>
      <c r="B20" s="2" t="inlineStr">
        <is>
          <t>DUNLOP takes time, H2 misses plan, oil stays high, El Nino lifts rubber -&gt; TP below current price</t>
        </is>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row>
    <row r="21">
      <c r="A21" s="2" t="inlineStr">
        <is>
          <t xml:space="preserve">  3. Bear</t>
        </is>
      </c>
      <c r="B21" s="2" t="inlineStr">
        <is>
          <t>DUNLOP fails + sector shock (oil $95, stronger El Nino, H2 misses plan, FY27 only a volume rebound off the low base) -&gt; P/B 0.50 floor</t>
        </is>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row>
    <row r="22">
      <c r="A22" s="3" t="inlineStr">
        <is>
          <t xml:space="preserve">  → Picked</t>
        </is>
      </c>
      <c r="B22" s="5">
        <f>CHOOSE($B$4,B19,B20,B21)</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row>
    <row r="24">
      <c r="A24" s="3" t="inlineStr">
        <is>
          <t>Key assumptions per case (driver inputs)</t>
        </is>
      </c>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row>
    <row r="25">
      <c r="A25" s="2" t="n"/>
      <c r="B25" s="6" t="inlineStr">
        <is>
          <t>Bull</t>
        </is>
      </c>
      <c r="C25" s="6" t="inlineStr">
        <is>
          <t>Base</t>
        </is>
      </c>
      <c r="D25" s="6" t="inlineStr">
        <is>
          <t>Bear</t>
        </is>
      </c>
      <c r="E25" s="6" t="inlineStr">
        <is>
          <t>Picked</t>
        </is>
      </c>
      <c r="F25" s="2" t="n"/>
      <c r="G25" s="2" t="n"/>
      <c r="H25" s="2" t="n"/>
      <c r="I25" s="2" t="n"/>
      <c r="J25" s="2" t="n"/>
      <c r="K25" s="2" t="n"/>
      <c r="L25" s="2" t="n"/>
      <c r="M25" s="2" t="n"/>
      <c r="N25" s="2" t="n"/>
      <c r="O25" s="2" t="n"/>
      <c r="P25" s="2" t="n"/>
      <c r="Q25" s="2" t="n"/>
      <c r="R25" s="2" t="n"/>
      <c r="S25" s="2" t="n"/>
      <c r="T25" s="2" t="n"/>
      <c r="U25" s="2" t="n"/>
      <c r="V25" s="2" t="n"/>
      <c r="W25" s="2" t="n"/>
      <c r="X25" s="2" t="n"/>
    </row>
    <row r="26">
      <c r="A26" s="2" t="inlineStr">
        <is>
          <t>TSR20 in 12M ($/kg, SGX curve x El Nino uplift)</t>
        </is>
      </c>
      <c r="B26" s="20">
        <f>$B$133*(1+B27*0.152)</f>
        <v/>
      </c>
      <c r="C26" s="20">
        <f>$B$133*(1+C27*0.152)</f>
        <v/>
      </c>
      <c r="D26" s="20">
        <f>$B$133*(1+D27*0.152)</f>
        <v/>
      </c>
      <c r="E26" s="25">
        <f>CHOOSE($B$4,B26,C26,D26)</f>
        <v/>
      </c>
      <c r="F26" s="2" t="n"/>
      <c r="G26" s="2" t="n"/>
      <c r="H26" s="2" t="n"/>
      <c r="I26" s="2" t="n"/>
      <c r="J26" s="2" t="n"/>
      <c r="K26" s="2" t="n"/>
      <c r="L26" s="2" t="n"/>
      <c r="M26" s="2" t="n"/>
      <c r="N26" s="2" t="n"/>
      <c r="O26" s="2" t="n"/>
      <c r="P26" s="2" t="n"/>
      <c r="Q26" s="2" t="n"/>
      <c r="R26" s="2" t="n"/>
      <c r="S26" s="2" t="n"/>
      <c r="T26" s="2" t="n"/>
      <c r="U26" s="2" t="n"/>
      <c r="V26" s="2" t="n"/>
      <c r="W26" s="2" t="n"/>
      <c r="X26" s="2" t="n"/>
    </row>
    <row r="27">
      <c r="A27" s="2" t="inlineStr">
        <is>
          <t xml:space="preserve">  El Nino uplift multiple (measured = 1.0) - LIVE</t>
        </is>
      </c>
      <c r="B27" s="19" t="n">
        <v>0.5</v>
      </c>
      <c r="C27" s="19" t="n">
        <v>1</v>
      </c>
      <c r="D27" s="19" t="n">
        <v>1.5</v>
      </c>
      <c r="E27" s="25">
        <f>CHOOSE($B$4,B27,C27,D27)</f>
        <v/>
      </c>
      <c r="F27" s="2" t="n"/>
      <c r="G27" s="2" t="n"/>
      <c r="H27" s="2" t="n"/>
      <c r="I27" s="2" t="n"/>
      <c r="J27" s="2" t="n"/>
      <c r="K27" s="2" t="n"/>
      <c r="L27" s="2" t="n"/>
      <c r="M27" s="2" t="n"/>
      <c r="N27" s="2" t="n"/>
      <c r="O27" s="2" t="n"/>
      <c r="P27" s="2" t="n"/>
      <c r="Q27" s="2" t="n"/>
      <c r="R27" s="2" t="n"/>
      <c r="S27" s="2" t="n"/>
      <c r="T27" s="2" t="n"/>
      <c r="U27" s="2" t="n"/>
      <c r="V27" s="2" t="n"/>
      <c r="W27" s="2" t="n"/>
      <c r="X27" s="2" t="n"/>
    </row>
    <row r="28">
      <c r="A28" s="2" t="inlineStr">
        <is>
          <t>Dubai ($/bbl, from Oct-2026) - LIVE</t>
        </is>
      </c>
      <c r="B28" s="26" t="n">
        <v>80</v>
      </c>
      <c r="C28" s="26" t="n">
        <v>90.33</v>
      </c>
      <c r="D28" s="26" t="n">
        <v>95</v>
      </c>
      <c r="E28" s="27">
        <f>CHOOSE($B$4,B28,C28,D28)</f>
        <v/>
      </c>
      <c r="F28" s="2" t="n"/>
      <c r="G28" s="2" t="n"/>
      <c r="H28" s="2" t="n"/>
      <c r="I28" s="2" t="n"/>
      <c r="J28" s="2" t="n"/>
      <c r="K28" s="2" t="n"/>
      <c r="L28" s="2" t="n"/>
      <c r="M28" s="2" t="n"/>
      <c r="N28" s="2" t="n"/>
      <c r="O28" s="2" t="n"/>
      <c r="P28" s="2" t="n"/>
      <c r="Q28" s="2" t="n"/>
      <c r="R28" s="2" t="n"/>
      <c r="S28" s="2" t="n"/>
      <c r="T28" s="2" t="n"/>
      <c r="U28" s="2" t="n"/>
      <c r="V28" s="2" t="n"/>
      <c r="W28" s="2" t="n"/>
      <c r="X28" s="2" t="n"/>
    </row>
    <row r="29">
      <c r="A29" s="2" t="inlineStr">
        <is>
          <t>Price pass-through beta (history 0.90) - LIVE</t>
        </is>
      </c>
      <c r="B29" s="19" t="n">
        <v>0.9</v>
      </c>
      <c r="C29" s="19" t="n">
        <v>0.7</v>
      </c>
      <c r="D29" s="19" t="n">
        <v>0.6</v>
      </c>
      <c r="E29" s="25">
        <f>CHOOSE($B$4,B29,C29,D29)</f>
        <v/>
      </c>
      <c r="F29" s="2" t="n"/>
      <c r="G29" s="2" t="n"/>
      <c r="H29" s="2" t="n"/>
      <c r="I29" s="2" t="n"/>
      <c r="J29" s="2" t="n"/>
      <c r="K29" s="2" t="n"/>
      <c r="L29" s="2" t="n"/>
      <c r="M29" s="2" t="n"/>
      <c r="N29" s="2" t="n"/>
      <c r="O29" s="2" t="n"/>
      <c r="P29" s="2" t="n"/>
      <c r="Q29" s="2" t="n"/>
      <c r="R29" s="2" t="n"/>
      <c r="S29" s="2" t="n"/>
      <c r="T29" s="2" t="n"/>
      <c r="U29" s="2" t="n"/>
      <c r="V29" s="2" t="n"/>
      <c r="W29" s="2" t="n"/>
      <c r="X29" s="2" t="n"/>
    </row>
    <row r="30">
      <c r="A30" s="2" t="inlineStr">
        <is>
          <t>FY26H2 price increase realized vs plan (%) - LIVE</t>
        </is>
      </c>
      <c r="B30" s="28" t="n">
        <v>100</v>
      </c>
      <c r="C30" s="28" t="n">
        <v>70</v>
      </c>
      <c r="D30" s="28" t="n">
        <v>60</v>
      </c>
      <c r="E30" s="29">
        <f>CHOOSE($B$4,B30,C30,D30)</f>
        <v/>
      </c>
      <c r="F30" s="2" t="n"/>
      <c r="G30" s="2" t="n"/>
      <c r="H30" s="2" t="n"/>
      <c r="I30" s="2" t="n"/>
      <c r="J30" s="2" t="n"/>
      <c r="K30" s="2" t="n"/>
      <c r="L30" s="2" t="n"/>
      <c r="M30" s="2" t="n"/>
      <c r="N30" s="2" t="n"/>
      <c r="O30" s="2" t="n"/>
      <c r="P30" s="2" t="n"/>
      <c r="Q30" s="2" t="n"/>
      <c r="R30" s="2" t="n"/>
      <c r="S30" s="2" t="n"/>
      <c r="T30" s="2" t="n"/>
      <c r="U30" s="2" t="n"/>
      <c r="V30" s="2" t="n"/>
      <c r="W30" s="2" t="n"/>
      <c r="X30" s="2" t="n"/>
    </row>
    <row r="31">
      <c r="A31" s="2" t="inlineStr">
        <is>
          <t>Own-brand units YoY FY27 (%) - LIVE</t>
        </is>
      </c>
      <c r="B31" s="26" t="n">
        <v>2.5</v>
      </c>
      <c r="C31" s="26" t="n">
        <v>1.5</v>
      </c>
      <c r="D31" s="26" t="n">
        <v>2.5</v>
      </c>
      <c r="E31" s="27">
        <f>CHOOSE($B$4,B31,C31,D31)</f>
        <v/>
      </c>
      <c r="F31" s="2" t="n"/>
      <c r="G31" s="2" t="n"/>
      <c r="H31" s="2" t="n"/>
      <c r="I31" s="2" t="n"/>
      <c r="J31" s="2" t="n"/>
      <c r="K31" s="2" t="n"/>
      <c r="L31" s="2" t="n"/>
      <c r="M31" s="2" t="n"/>
      <c r="N31" s="2" t="n"/>
      <c r="O31" s="2" t="n"/>
      <c r="P31" s="2" t="n"/>
      <c r="Q31" s="2" t="n"/>
      <c r="R31" s="2" t="n"/>
      <c r="S31" s="2" t="n"/>
      <c r="T31" s="2" t="n"/>
      <c r="U31" s="2" t="n"/>
      <c r="V31" s="2" t="n"/>
      <c r="W31" s="2" t="n"/>
      <c r="X31" s="2" t="n"/>
    </row>
    <row r="32">
      <c r="A32" s="2" t="inlineStr">
        <is>
          <t>Own-brand units FY26H2 vs company plan (%) - LIVE</t>
        </is>
      </c>
      <c r="B32" s="28" t="n">
        <v>100</v>
      </c>
      <c r="C32" s="28" t="n">
        <v>97</v>
      </c>
      <c r="D32" s="28" t="n">
        <v>96</v>
      </c>
      <c r="E32" s="29">
        <f>CHOOSE($B$4,B32,C32,D32)</f>
        <v/>
      </c>
      <c r="F32" s="2" t="n"/>
      <c r="G32" s="2" t="n"/>
      <c r="H32" s="2" t="n"/>
      <c r="I32" s="2" t="n"/>
      <c r="J32" s="2" t="n"/>
      <c r="K32" s="2" t="n"/>
      <c r="L32" s="2" t="n"/>
      <c r="M32" s="2" t="n"/>
      <c r="N32" s="2" t="n"/>
      <c r="O32" s="2" t="n"/>
      <c r="P32" s="2" t="n"/>
      <c r="Q32" s="2" t="n"/>
      <c r="R32" s="2" t="n"/>
      <c r="S32" s="2" t="n"/>
      <c r="T32" s="2" t="n"/>
      <c r="U32" s="2" t="n"/>
      <c r="V32" s="2" t="n"/>
      <c r="W32" s="2" t="n"/>
      <c r="X32" s="2" t="n"/>
    </row>
    <row r="33">
      <c r="A33" s="2" t="inlineStr">
        <is>
          <t>Offtake FY26H2 vs plan (%) - LIVE</t>
        </is>
      </c>
      <c r="B33" s="28" t="n">
        <v>100</v>
      </c>
      <c r="C33" s="28" t="n">
        <v>77</v>
      </c>
      <c r="D33" s="28" t="n">
        <v>70</v>
      </c>
      <c r="E33" s="29">
        <f>CHOOSE($B$4,B33,C33,D33)</f>
        <v/>
      </c>
      <c r="F33" s="2" t="n"/>
      <c r="G33" s="2" t="n"/>
      <c r="H33" s="2" t="n"/>
      <c r="I33" s="2" t="n"/>
      <c r="J33" s="2" t="n"/>
      <c r="K33" s="2" t="n"/>
      <c r="L33" s="2" t="n"/>
      <c r="M33" s="2" t="n"/>
      <c r="N33" s="2" t="n"/>
      <c r="O33" s="2" t="n"/>
      <c r="P33" s="2" t="n"/>
      <c r="Q33" s="2" t="n"/>
      <c r="R33" s="2" t="n"/>
      <c r="S33" s="2" t="n"/>
      <c r="T33" s="2" t="n"/>
      <c r="U33" s="2" t="n"/>
      <c r="V33" s="2" t="n"/>
      <c r="W33" s="2" t="n"/>
      <c r="X33" s="2" t="n"/>
    </row>
    <row r="34">
      <c r="A34" s="2" t="inlineStr">
        <is>
          <t>Offtake FY27 (10k units) - LIVE</t>
        </is>
      </c>
      <c r="B34" s="28" t="n">
        <v>260</v>
      </c>
      <c r="C34" s="28" t="n">
        <v>240</v>
      </c>
      <c r="D34" s="28" t="n">
        <v>220</v>
      </c>
      <c r="E34" s="29">
        <f>CHOOSE($B$4,B34,C34,D34)</f>
        <v/>
      </c>
      <c r="F34" s="2" t="n"/>
      <c r="G34" s="2" t="n"/>
      <c r="H34" s="2" t="n"/>
      <c r="I34" s="2" t="n"/>
      <c r="J34" s="2" t="n"/>
      <c r="K34" s="2" t="n"/>
      <c r="L34" s="2" t="n"/>
      <c r="M34" s="2" t="n"/>
      <c r="N34" s="2" t="n"/>
      <c r="O34" s="2" t="n"/>
      <c r="P34" s="2" t="n"/>
      <c r="Q34" s="2" t="n"/>
      <c r="R34" s="2" t="n"/>
      <c r="S34" s="2" t="n"/>
      <c r="T34" s="2" t="n"/>
      <c r="U34" s="2" t="n"/>
      <c r="V34" s="2" t="n"/>
      <c r="W34" s="2" t="n"/>
      <c r="X34" s="2" t="n"/>
    </row>
    <row r="35">
      <c r="A35" s="2" t="inlineStr">
        <is>
          <t>SYNCHRO WEATHER FY27 (10k units) - placeholder - LIVE</t>
        </is>
      </c>
      <c r="B35" s="28" t="n">
        <v>150</v>
      </c>
      <c r="C35" s="28" t="n">
        <v>130</v>
      </c>
      <c r="D35" s="28" t="n">
        <v>115</v>
      </c>
      <c r="E35" s="29">
        <f>CHOOSE($B$4,B35,C35,D35)</f>
        <v/>
      </c>
      <c r="F35" s="2" t="n"/>
      <c r="G35" s="2" t="n"/>
      <c r="H35" s="2" t="n"/>
      <c r="I35" s="2" t="n"/>
      <c r="J35" s="2" t="n"/>
      <c r="K35" s="2" t="n"/>
      <c r="L35" s="2" t="n"/>
      <c r="M35" s="2" t="n"/>
      <c r="N35" s="2" t="n"/>
      <c r="O35" s="2" t="n"/>
      <c r="P35" s="2" t="n"/>
      <c r="Q35" s="2" t="n"/>
      <c r="R35" s="2" t="n"/>
      <c r="S35" s="2" t="n"/>
      <c r="T35" s="2" t="n"/>
      <c r="U35" s="2" t="n"/>
      <c r="V35" s="2" t="n"/>
      <c r="W35" s="2" t="n"/>
      <c r="X35" s="2" t="n"/>
    </row>
    <row r="36">
      <c r="A36" s="2" t="inlineStr">
        <is>
          <t>Mix improvement (JPY 100m / Q) - LIVE</t>
        </is>
      </c>
      <c r="B36" s="28" t="n">
        <v>30</v>
      </c>
      <c r="C36" s="28" t="n">
        <v>20</v>
      </c>
      <c r="D36" s="28" t="n">
        <v>10</v>
      </c>
      <c r="E36" s="29">
        <f>CHOOSE($B$4,B36,C36,D36)</f>
        <v/>
      </c>
      <c r="F36" s="2" t="n"/>
      <c r="G36" s="2" t="n"/>
      <c r="H36" s="2" t="n"/>
      <c r="I36" s="2" t="n"/>
      <c r="J36" s="2" t="n"/>
      <c r="K36" s="2" t="n"/>
      <c r="L36" s="2" t="n"/>
      <c r="M36" s="2" t="n"/>
      <c r="N36" s="2" t="n"/>
      <c r="O36" s="2" t="n"/>
      <c r="P36" s="2" t="n"/>
      <c r="Q36" s="2" t="n"/>
      <c r="R36" s="2" t="n"/>
      <c r="S36" s="2" t="n"/>
      <c r="T36" s="2" t="n"/>
      <c r="U36" s="2" t="n"/>
      <c r="V36" s="2" t="n"/>
      <c r="W36" s="2" t="n"/>
      <c r="X36" s="2" t="n"/>
    </row>
    <row r="37">
      <c r="A37" s="2" t="inlineStr">
        <is>
          <t>Excess inventory days at FY27 end (vs FY25 same Q)</t>
        </is>
      </c>
      <c r="B37" s="28" t="n">
        <v>3</v>
      </c>
      <c r="C37" s="28" t="n">
        <v>8</v>
      </c>
      <c r="D37" s="28" t="n">
        <v>20</v>
      </c>
      <c r="E37" s="29">
        <f>CHOOSE($B$4,B37,C37,D37)</f>
        <v/>
      </c>
      <c r="F37" s="2" t="n"/>
      <c r="G37" s="2" t="n"/>
      <c r="H37" s="2" t="n"/>
      <c r="I37" s="2" t="n"/>
      <c r="J37" s="2" t="n"/>
      <c r="K37" s="2" t="n"/>
      <c r="L37" s="2" t="n"/>
      <c r="M37" s="2" t="n"/>
      <c r="N37" s="2" t="n"/>
      <c r="O37" s="2" t="n"/>
      <c r="P37" s="2" t="n"/>
      <c r="Q37" s="2" t="n"/>
      <c r="R37" s="2" t="n"/>
      <c r="S37" s="2" t="n"/>
      <c r="T37" s="2" t="n"/>
      <c r="U37" s="2" t="n"/>
      <c r="V37" s="2" t="n"/>
      <c r="W37" s="2" t="n"/>
      <c r="X37" s="2" t="n"/>
    </row>
    <row r="38">
      <c r="A38" s="30" t="inlineStr">
        <is>
          <t>Common to all cases (FY27, JPY 100m): unrealized profit -58 / IEEPA refund drops out -40 / freight -20 / Project ARK +100 / expenses -130. In the assumption table only the pass-through beta is live (it drives the price row of the profit bridge); the other rows are reference - edit the bridge buckets below, or rerun driver.py.</t>
        </is>
      </c>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row>
    <row r="40">
      <c r="A40" s="3" t="inlineStr">
        <is>
          <t>Quarterly drivers per case — edit the case rows; the Selected rows feed Drivers</t>
        </is>
      </c>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row>
    <row r="41">
      <c r="A41" s="2" t="n"/>
      <c r="B41" s="6" t="inlineStr">
        <is>
          <t>FY25Q3 A</t>
        </is>
      </c>
      <c r="C41" s="6" t="inlineStr">
        <is>
          <t>FY25Q4 A</t>
        </is>
      </c>
      <c r="D41" s="6" t="inlineStr">
        <is>
          <t>FY26Q1 A</t>
        </is>
      </c>
      <c r="E41" s="6" t="inlineStr">
        <is>
          <t>FY26Q2 A</t>
        </is>
      </c>
      <c r="F41" s="6" t="inlineStr">
        <is>
          <t>FY26Q3</t>
        </is>
      </c>
      <c r="G41" s="6" t="inlineStr">
        <is>
          <t>FY26Q4</t>
        </is>
      </c>
      <c r="H41" s="6" t="inlineStr">
        <is>
          <t>FY27Q1</t>
        </is>
      </c>
      <c r="I41" s="6" t="inlineStr">
        <is>
          <t>FY27Q2</t>
        </is>
      </c>
      <c r="J41" s="6" t="inlineStr">
        <is>
          <t>FY27Q3</t>
        </is>
      </c>
      <c r="K41" s="6" t="inlineStr">
        <is>
          <t>FY27Q4</t>
        </is>
      </c>
      <c r="L41" s="6" t="inlineStr">
        <is>
          <t>FY28Q1</t>
        </is>
      </c>
      <c r="M41" s="6" t="inlineStr">
        <is>
          <t>FY28Q2</t>
        </is>
      </c>
      <c r="N41" s="2" t="n"/>
      <c r="O41" s="2" t="n"/>
      <c r="P41" s="2" t="n"/>
      <c r="Q41" s="2" t="n"/>
      <c r="R41" s="2" t="n"/>
      <c r="S41" s="2" t="n"/>
      <c r="T41" s="2" t="n"/>
      <c r="U41" s="2" t="n"/>
      <c r="V41" s="2" t="n"/>
      <c r="W41" s="2" t="n"/>
      <c r="X41" s="2" t="n"/>
    </row>
    <row r="42">
      <c r="A42" s="3" t="inlineStr">
        <is>
          <t>Sales QoQ (%)</t>
        </is>
      </c>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row>
    <row r="43">
      <c r="A43" s="2" t="inlineStr">
        <is>
          <t xml:space="preserve">  1. Bull</t>
        </is>
      </c>
      <c r="B43" s="2" t="n"/>
      <c r="C43" s="2" t="n"/>
      <c r="D43" s="2" t="n"/>
      <c r="E43" s="2" t="n"/>
      <c r="F43" s="31" t="n">
        <v>2.86</v>
      </c>
      <c r="G43" s="31" t="n">
        <v>17.39</v>
      </c>
      <c r="H43" s="31" t="n">
        <v>-18.32</v>
      </c>
      <c r="I43" s="31" t="n">
        <v>6.63</v>
      </c>
      <c r="J43" s="31" t="n">
        <v>3.45</v>
      </c>
      <c r="K43" s="31" t="n">
        <v>16.35</v>
      </c>
      <c r="L43" s="31" t="n">
        <v>-19.46</v>
      </c>
      <c r="M43" s="31" t="n">
        <v>5.76</v>
      </c>
      <c r="N43" s="2" t="n"/>
      <c r="O43" s="2" t="n"/>
      <c r="P43" s="2" t="n"/>
      <c r="Q43" s="2" t="n"/>
      <c r="R43" s="2" t="n"/>
      <c r="S43" s="2" t="n"/>
      <c r="T43" s="2" t="n"/>
      <c r="U43" s="2" t="n"/>
      <c r="V43" s="2" t="n"/>
      <c r="W43" s="2" t="n"/>
      <c r="X43" s="2" t="n"/>
    </row>
    <row r="44">
      <c r="A44" s="2" t="inlineStr">
        <is>
          <t xml:space="preserve">  2. Base</t>
        </is>
      </c>
      <c r="B44" s="2" t="n"/>
      <c r="C44" s="2" t="n"/>
      <c r="D44" s="2" t="n"/>
      <c r="E44" s="2" t="n"/>
      <c r="F44" s="31" t="n">
        <v>-0.46</v>
      </c>
      <c r="G44" s="31" t="n">
        <v>17.9</v>
      </c>
      <c r="H44" s="31" t="n">
        <v>-17.13</v>
      </c>
      <c r="I44" s="31" t="n">
        <v>6.33</v>
      </c>
      <c r="J44" s="31" t="n">
        <v>0.76</v>
      </c>
      <c r="K44" s="31" t="n">
        <v>17.26</v>
      </c>
      <c r="L44" s="31" t="n">
        <v>-17.78</v>
      </c>
      <c r="M44" s="31" t="n">
        <v>5.86</v>
      </c>
      <c r="N44" s="2" t="n"/>
      <c r="O44" s="2" t="n"/>
      <c r="P44" s="2" t="n"/>
      <c r="Q44" s="2" t="n"/>
      <c r="R44" s="2" t="n"/>
      <c r="S44" s="2" t="n"/>
      <c r="T44" s="2" t="n"/>
      <c r="U44" s="2" t="n"/>
      <c r="V44" s="2" t="n"/>
      <c r="W44" s="2" t="n"/>
      <c r="X44" s="2" t="n"/>
    </row>
    <row r="45">
      <c r="A45" s="2" t="inlineStr">
        <is>
          <t xml:space="preserve">  3. Bear</t>
        </is>
      </c>
      <c r="B45" s="2" t="n"/>
      <c r="C45" s="2" t="n"/>
      <c r="D45" s="2" t="n"/>
      <c r="E45" s="2" t="n"/>
      <c r="F45" s="31" t="n">
        <v>-1.55</v>
      </c>
      <c r="G45" s="31" t="n">
        <v>18.08</v>
      </c>
      <c r="H45" s="31" t="n">
        <v>-15.85</v>
      </c>
      <c r="I45" s="31" t="n">
        <v>6.18</v>
      </c>
      <c r="J45" s="31" t="n">
        <v>-0.23</v>
      </c>
      <c r="K45" s="31" t="n">
        <v>17.63</v>
      </c>
      <c r="L45" s="31" t="n">
        <v>-15.9</v>
      </c>
      <c r="M45" s="31" t="n">
        <v>5.89</v>
      </c>
      <c r="N45" s="2" t="n"/>
      <c r="O45" s="2" t="n"/>
      <c r="P45" s="2" t="n"/>
      <c r="Q45" s="2" t="n"/>
      <c r="R45" s="2" t="n"/>
      <c r="S45" s="2" t="n"/>
      <c r="T45" s="2" t="n"/>
      <c r="U45" s="2" t="n"/>
      <c r="V45" s="2" t="n"/>
      <c r="W45" s="2" t="n"/>
      <c r="X45" s="2" t="n"/>
    </row>
    <row r="46">
      <c r="A46" s="3" t="inlineStr">
        <is>
          <t xml:space="preserve">  → Selected (feeds Drivers)</t>
        </is>
      </c>
      <c r="B46" s="2" t="n"/>
      <c r="C46" s="2" t="n"/>
      <c r="D46" s="2" t="n"/>
      <c r="E46" s="2" t="n"/>
      <c r="F46" s="32">
        <f>CHOOSE($B$4,F43,F44,F45)</f>
        <v/>
      </c>
      <c r="G46" s="32">
        <f>CHOOSE($B$4,G43,G44,G45)</f>
        <v/>
      </c>
      <c r="H46" s="32">
        <f>CHOOSE($B$4,H43,H44,H45)</f>
        <v/>
      </c>
      <c r="I46" s="32">
        <f>CHOOSE($B$4,I43,I44,I45)</f>
        <v/>
      </c>
      <c r="J46" s="32">
        <f>CHOOSE($B$4,J43,J44,J45)</f>
        <v/>
      </c>
      <c r="K46" s="32">
        <f>CHOOSE($B$4,K43,K44,K45)</f>
        <v/>
      </c>
      <c r="L46" s="32">
        <f>CHOOSE($B$4,L43,L44,L45)</f>
        <v/>
      </c>
      <c r="M46" s="32">
        <f>CHOOSE($B$4,M43,M44,M45)</f>
        <v/>
      </c>
      <c r="N46" s="2" t="n"/>
      <c r="O46" s="2" t="n"/>
      <c r="P46" s="2" t="n"/>
      <c r="Q46" s="2" t="n"/>
      <c r="R46" s="2" t="n"/>
      <c r="S46" s="2" t="n"/>
      <c r="T46" s="2" t="n"/>
      <c r="U46" s="2" t="n"/>
      <c r="V46" s="2" t="n"/>
      <c r="W46" s="2" t="n"/>
      <c r="X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row>
    <row r="48">
      <c r="A48" s="3" t="inlineStr">
        <is>
          <t>Consolidated OPM (%)</t>
        </is>
      </c>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row>
    <row r="49">
      <c r="A49" s="2" t="inlineStr">
        <is>
          <t xml:space="preserve">  1. Bull</t>
        </is>
      </c>
      <c r="B49" s="2" t="n"/>
      <c r="C49" s="2" t="n"/>
      <c r="D49" s="2" t="n"/>
      <c r="E49" s="2" t="n"/>
      <c r="F49" s="10">
        <f>F81</f>
        <v/>
      </c>
      <c r="G49" s="10">
        <f>G81</f>
        <v/>
      </c>
      <c r="H49" s="10">
        <f>H81</f>
        <v/>
      </c>
      <c r="I49" s="10">
        <f>I81</f>
        <v/>
      </c>
      <c r="J49" s="10">
        <f>J81</f>
        <v/>
      </c>
      <c r="K49" s="10">
        <f>K81</f>
        <v/>
      </c>
      <c r="L49" s="10">
        <f>L81</f>
        <v/>
      </c>
      <c r="M49" s="10">
        <f>M81</f>
        <v/>
      </c>
      <c r="N49" s="2" t="n"/>
      <c r="O49" s="2" t="n"/>
      <c r="P49" s="2" t="n"/>
      <c r="Q49" s="2" t="n"/>
      <c r="R49" s="2" t="n"/>
      <c r="S49" s="2" t="n"/>
      <c r="T49" s="2" t="n"/>
      <c r="U49" s="2" t="n"/>
      <c r="V49" s="2" t="n"/>
      <c r="W49" s="2" t="n"/>
      <c r="X49" s="2" t="n"/>
    </row>
    <row r="50">
      <c r="A50" s="2" t="inlineStr">
        <is>
          <t xml:space="preserve">  2. Base</t>
        </is>
      </c>
      <c r="B50" s="2" t="n"/>
      <c r="C50" s="2" t="n"/>
      <c r="D50" s="2" t="n"/>
      <c r="E50" s="2" t="n"/>
      <c r="F50" s="10">
        <f>F103</f>
        <v/>
      </c>
      <c r="G50" s="10">
        <f>G103</f>
        <v/>
      </c>
      <c r="H50" s="10">
        <f>H103</f>
        <v/>
      </c>
      <c r="I50" s="10">
        <f>I103</f>
        <v/>
      </c>
      <c r="J50" s="10">
        <f>J103</f>
        <v/>
      </c>
      <c r="K50" s="10">
        <f>K103</f>
        <v/>
      </c>
      <c r="L50" s="10">
        <f>L103</f>
        <v/>
      </c>
      <c r="M50" s="10">
        <f>M103</f>
        <v/>
      </c>
      <c r="N50" s="2" t="n"/>
      <c r="O50" s="2" t="n"/>
      <c r="P50" s="2" t="n"/>
      <c r="Q50" s="2" t="n"/>
      <c r="R50" s="2" t="n"/>
      <c r="S50" s="2" t="n"/>
      <c r="T50" s="2" t="n"/>
      <c r="U50" s="2" t="n"/>
      <c r="V50" s="2" t="n"/>
      <c r="W50" s="2" t="n"/>
      <c r="X50" s="2" t="n"/>
    </row>
    <row r="51">
      <c r="A51" s="2" t="inlineStr">
        <is>
          <t xml:space="preserve">  3. Bear</t>
        </is>
      </c>
      <c r="B51" s="2" t="n"/>
      <c r="C51" s="2" t="n"/>
      <c r="D51" s="2" t="n"/>
      <c r="E51" s="2" t="n"/>
      <c r="F51" s="10">
        <f>F125</f>
        <v/>
      </c>
      <c r="G51" s="10">
        <f>G125</f>
        <v/>
      </c>
      <c r="H51" s="10">
        <f>H125</f>
        <v/>
      </c>
      <c r="I51" s="10">
        <f>I125</f>
        <v/>
      </c>
      <c r="J51" s="10">
        <f>J125</f>
        <v/>
      </c>
      <c r="K51" s="10">
        <f>K125</f>
        <v/>
      </c>
      <c r="L51" s="10">
        <f>L125</f>
        <v/>
      </c>
      <c r="M51" s="10">
        <f>M125</f>
        <v/>
      </c>
      <c r="N51" s="2" t="n"/>
      <c r="O51" s="2" t="n"/>
      <c r="P51" s="2" t="n"/>
      <c r="Q51" s="2" t="n"/>
      <c r="R51" s="2" t="n"/>
      <c r="S51" s="2" t="n"/>
      <c r="T51" s="2" t="n"/>
      <c r="U51" s="2" t="n"/>
      <c r="V51" s="2" t="n"/>
      <c r="W51" s="2" t="n"/>
      <c r="X51" s="2" t="n"/>
    </row>
    <row r="52">
      <c r="A52" s="3" t="inlineStr">
        <is>
          <t xml:space="preserve">  → Selected (feeds Drivers)</t>
        </is>
      </c>
      <c r="B52" s="2" t="n"/>
      <c r="C52" s="2" t="n"/>
      <c r="D52" s="2" t="n"/>
      <c r="E52" s="2" t="n"/>
      <c r="F52" s="32">
        <f>CHOOSE($B$4,F49,F50,F51)</f>
        <v/>
      </c>
      <c r="G52" s="32">
        <f>CHOOSE($B$4,G49,G50,G51)</f>
        <v/>
      </c>
      <c r="H52" s="32">
        <f>CHOOSE($B$4,H49,H50,H51)</f>
        <v/>
      </c>
      <c r="I52" s="32">
        <f>CHOOSE($B$4,I49,I50,I51)</f>
        <v/>
      </c>
      <c r="J52" s="32">
        <f>CHOOSE($B$4,J49,J50,J51)</f>
        <v/>
      </c>
      <c r="K52" s="32">
        <f>CHOOSE($B$4,K49,K50,K51)</f>
        <v/>
      </c>
      <c r="L52" s="32">
        <f>CHOOSE($B$4,L49,L50,L51)</f>
        <v/>
      </c>
      <c r="M52" s="32">
        <f>CHOOSE($B$4,M49,M50,M51)</f>
        <v/>
      </c>
      <c r="N52" s="2" t="n"/>
      <c r="O52" s="2" t="n"/>
      <c r="P52" s="2" t="n"/>
      <c r="Q52" s="2" t="n"/>
      <c r="R52" s="2" t="n"/>
      <c r="S52" s="2" t="n"/>
      <c r="T52" s="2" t="n"/>
      <c r="U52" s="2" t="n"/>
      <c r="V52" s="2" t="n"/>
      <c r="W52" s="2" t="n"/>
      <c r="X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row>
    <row r="54">
      <c r="A54" s="3" t="inlineStr">
        <is>
          <t>Inventory days — DIO (feeds FS WC days)</t>
        </is>
      </c>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row>
    <row r="55">
      <c r="A55" s="2" t="inlineStr">
        <is>
          <t xml:space="preserve">  1. Bull</t>
        </is>
      </c>
      <c r="B55" s="2" t="n"/>
      <c r="C55" s="2" t="n"/>
      <c r="D55" s="2" t="n"/>
      <c r="E55" s="2" t="n"/>
      <c r="F55" s="31" t="n">
        <v>151.9</v>
      </c>
      <c r="G55" s="31" t="n">
        <v>130.1</v>
      </c>
      <c r="H55" s="31" t="n">
        <v>135</v>
      </c>
      <c r="I55" s="31" t="n">
        <v>136.7</v>
      </c>
      <c r="J55" s="31" t="n">
        <v>141.9</v>
      </c>
      <c r="K55" s="31" t="n">
        <v>121.1</v>
      </c>
      <c r="L55" s="31" t="n">
        <v>128</v>
      </c>
      <c r="M55" s="31" t="n">
        <v>132.7</v>
      </c>
      <c r="N55" s="2" t="n"/>
      <c r="O55" s="2" t="n"/>
      <c r="P55" s="2" t="n"/>
      <c r="Q55" s="2" t="n"/>
      <c r="R55" s="2" t="n"/>
      <c r="S55" s="2" t="n"/>
      <c r="T55" s="2" t="n"/>
      <c r="U55" s="2" t="n"/>
      <c r="V55" s="2" t="n"/>
      <c r="W55" s="2" t="n"/>
      <c r="X55" s="2" t="n"/>
    </row>
    <row r="56">
      <c r="A56" s="2" t="inlineStr">
        <is>
          <t xml:space="preserve">  2. Base</t>
        </is>
      </c>
      <c r="B56" s="2" t="n"/>
      <c r="C56" s="2" t="n"/>
      <c r="D56" s="2" t="n"/>
      <c r="E56" s="2" t="n"/>
      <c r="F56" s="31" t="n">
        <v>151.9</v>
      </c>
      <c r="G56" s="31" t="n">
        <v>132.1</v>
      </c>
      <c r="H56" s="31" t="n">
        <v>138</v>
      </c>
      <c r="I56" s="31" t="n">
        <v>140.7</v>
      </c>
      <c r="J56" s="31" t="n">
        <v>146.9</v>
      </c>
      <c r="K56" s="31" t="n">
        <v>126.1</v>
      </c>
      <c r="L56" s="31" t="n">
        <v>132</v>
      </c>
      <c r="M56" s="31" t="n">
        <v>136.7</v>
      </c>
      <c r="N56" s="2" t="n"/>
      <c r="O56" s="2" t="n"/>
      <c r="P56" s="2" t="n"/>
      <c r="Q56" s="2" t="n"/>
      <c r="R56" s="2" t="n"/>
      <c r="S56" s="2" t="n"/>
      <c r="T56" s="2" t="n"/>
      <c r="U56" s="2" t="n"/>
      <c r="V56" s="2" t="n"/>
      <c r="W56" s="2" t="n"/>
      <c r="X56" s="2" t="n"/>
    </row>
    <row r="57">
      <c r="A57" s="2" t="inlineStr">
        <is>
          <t xml:space="preserve">  3. Bear</t>
        </is>
      </c>
      <c r="B57" s="2" t="n"/>
      <c r="C57" s="2" t="n"/>
      <c r="D57" s="2" t="n"/>
      <c r="E57" s="2" t="n"/>
      <c r="F57" s="31" t="n">
        <v>151.9</v>
      </c>
      <c r="G57" s="31" t="n">
        <v>133.1</v>
      </c>
      <c r="H57" s="31" t="n">
        <v>142</v>
      </c>
      <c r="I57" s="31" t="n">
        <v>147.7</v>
      </c>
      <c r="J57" s="31" t="n">
        <v>155.9</v>
      </c>
      <c r="K57" s="31" t="n">
        <v>138.1</v>
      </c>
      <c r="L57" s="31" t="n">
        <v>146</v>
      </c>
      <c r="M57" s="31" t="n">
        <v>150.7</v>
      </c>
      <c r="N57" s="2" t="n"/>
      <c r="O57" s="2" t="n"/>
      <c r="P57" s="2" t="n"/>
      <c r="Q57" s="2" t="n"/>
      <c r="R57" s="2" t="n"/>
      <c r="S57" s="2" t="n"/>
      <c r="T57" s="2" t="n"/>
      <c r="U57" s="2" t="n"/>
      <c r="V57" s="2" t="n"/>
      <c r="W57" s="2" t="n"/>
      <c r="X57" s="2" t="n"/>
    </row>
    <row r="58">
      <c r="A58" s="3" t="inlineStr">
        <is>
          <t xml:space="preserve">  → Selected (feeds Drivers)</t>
        </is>
      </c>
      <c r="B58" s="2" t="n"/>
      <c r="C58" s="2" t="n"/>
      <c r="D58" s="2" t="n"/>
      <c r="E58" s="2" t="n"/>
      <c r="F58" s="32">
        <f>CHOOSE($B$4,F55,F56,F57)</f>
        <v/>
      </c>
      <c r="G58" s="32">
        <f>CHOOSE($B$4,G55,G56,G57)</f>
        <v/>
      </c>
      <c r="H58" s="32">
        <f>CHOOSE($B$4,H55,H56,H57)</f>
        <v/>
      </c>
      <c r="I58" s="32">
        <f>CHOOSE($B$4,I55,I56,I57)</f>
        <v/>
      </c>
      <c r="J58" s="32">
        <f>CHOOSE($B$4,J55,J56,J57)</f>
        <v/>
      </c>
      <c r="K58" s="32">
        <f>CHOOSE($B$4,K55,K56,K57)</f>
        <v/>
      </c>
      <c r="L58" s="32">
        <f>CHOOSE($B$4,L55,L56,L57)</f>
        <v/>
      </c>
      <c r="M58" s="32">
        <f>CHOOSE($B$4,M55,M56,M57)</f>
        <v/>
      </c>
      <c r="N58" s="2" t="n"/>
      <c r="O58" s="2" t="n"/>
      <c r="P58" s="2" t="n"/>
      <c r="Q58" s="2" t="n"/>
      <c r="R58" s="2" t="n"/>
      <c r="S58" s="2" t="n"/>
      <c r="T58" s="2" t="n"/>
      <c r="U58" s="2" t="n"/>
      <c r="V58" s="2" t="n"/>
      <c r="W58" s="2" t="n"/>
      <c r="X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row>
    <row r="60">
      <c r="A60" s="3" t="inlineStr">
        <is>
          <t>Profit bridge per case (YoY, JPY 100m) — business profit → OP → OPM (feeds the OPM rows above)</t>
        </is>
      </c>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row>
    <row r="61">
      <c r="A61" s="6" t="inlineStr">
        <is>
          <t>1. Bull</t>
        </is>
      </c>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row>
    <row r="62">
      <c r="A62" s="2" t="inlineStr">
        <is>
          <t xml:space="preserve">  Business profit, same Q last year</t>
        </is>
      </c>
      <c r="B62" s="2" t="n"/>
      <c r="C62" s="2" t="n"/>
      <c r="D62" s="2" t="n"/>
      <c r="E62" s="2" t="n"/>
      <c r="F62" s="8" t="n">
        <v>202</v>
      </c>
      <c r="G62" s="8" t="n">
        <v>423</v>
      </c>
      <c r="H62" s="8" t="n">
        <v>168</v>
      </c>
      <c r="I62" s="8" t="n">
        <v>230</v>
      </c>
      <c r="J62" s="33">
        <f>F77</f>
        <v/>
      </c>
      <c r="K62" s="33">
        <f>G77</f>
        <v/>
      </c>
      <c r="L62" s="33">
        <f>H77</f>
        <v/>
      </c>
      <c r="M62" s="33">
        <f>I77</f>
        <v/>
      </c>
      <c r="N62" s="2" t="n"/>
      <c r="O62" s="2" t="n"/>
      <c r="P62" s="2" t="n"/>
      <c r="Q62" s="2" t="n"/>
      <c r="R62" s="2" t="n"/>
      <c r="S62" s="2" t="n"/>
      <c r="T62" s="2" t="n"/>
      <c r="U62" s="2" t="n"/>
      <c r="V62" s="2" t="n"/>
      <c r="W62" s="2" t="n"/>
      <c r="X62" s="2" t="n"/>
    </row>
    <row r="63">
      <c r="A63" s="2" t="inlineStr">
        <is>
          <t xml:space="preserve">    Raw materials (TSR20 / Dubai, lagged) x tonnes</t>
        </is>
      </c>
      <c r="B63" s="2" t="n"/>
      <c r="C63" s="2" t="n"/>
      <c r="D63" s="8" t="n">
        <v>100</v>
      </c>
      <c r="E63" s="8" t="n">
        <v>54</v>
      </c>
      <c r="F63" s="33">
        <f>-$B$128*F161*(F162-B162)+F$149</f>
        <v/>
      </c>
      <c r="G63" s="33">
        <f>-$B$128*G161*(G162-C162)+G$149</f>
        <v/>
      </c>
      <c r="H63" s="33">
        <f>-$B$128*H161*(H162-D162)-$B$129*H161*(H163-D163)</f>
        <v/>
      </c>
      <c r="I63" s="33">
        <f>-$B$128*I161*(I162-E162)-$B$129*I161*(I163-E163)</f>
        <v/>
      </c>
      <c r="J63" s="33">
        <f>-$B$128*J161*(J162-F162)-$B$129*J161*(J163-F163)</f>
        <v/>
      </c>
      <c r="K63" s="33">
        <f>-$B$128*K161*(K162-G162)-$B$129*K161*(K163-G163)</f>
        <v/>
      </c>
      <c r="L63" s="33">
        <f>-$B$128*L161*(L162-H162)-$B$129*L161*(L163-H163)</f>
        <v/>
      </c>
      <c r="M63" s="33">
        <f>-$B$128*M161*(M162-I162)-$B$129*M161*(M163-I163)</f>
        <v/>
      </c>
      <c r="N63" s="2" t="n"/>
      <c r="O63" s="2" t="n"/>
      <c r="P63" s="2" t="n"/>
      <c r="Q63" s="2" t="n"/>
      <c r="R63" s="2" t="n"/>
      <c r="S63" s="2" t="n"/>
      <c r="T63" s="2" t="n"/>
      <c r="U63" s="2" t="n"/>
      <c r="V63" s="2" t="n"/>
      <c r="W63" s="2" t="n"/>
      <c r="X63" s="2" t="n"/>
    </row>
    <row r="64">
      <c r="A64" s="2" t="inlineStr">
        <is>
          <t xml:space="preserve">    Price pass-through</t>
        </is>
      </c>
      <c r="B64" s="2" t="n"/>
      <c r="C64" s="2" t="n"/>
      <c r="D64" s="2" t="n"/>
      <c r="E64" s="2" t="n"/>
      <c r="F64" s="33">
        <f>F$140*B$30/100</f>
        <v/>
      </c>
      <c r="G64" s="33">
        <f>G$140*B$30/100</f>
        <v/>
      </c>
      <c r="H64" s="33">
        <f>-B$29*AVERAGE(D63:G63)</f>
        <v/>
      </c>
      <c r="I64" s="33">
        <f>-B$29*AVERAGE(E63:H63)</f>
        <v/>
      </c>
      <c r="J64" s="33">
        <f>-B$29*AVERAGE(F63:I63)</f>
        <v/>
      </c>
      <c r="K64" s="33">
        <f>-B$29*AVERAGE(G63:J63)</f>
        <v/>
      </c>
      <c r="L64" s="33">
        <f>-B$29*AVERAGE(H63:K63)</f>
        <v/>
      </c>
      <c r="M64" s="33">
        <f>-B$29*AVERAGE(I63:L63)</f>
        <v/>
      </c>
      <c r="N64" s="2" t="n"/>
      <c r="O64" s="2" t="n"/>
      <c r="P64" s="2" t="n"/>
      <c r="Q64" s="2" t="n"/>
      <c r="R64" s="2" t="n"/>
      <c r="S64" s="2" t="n"/>
      <c r="T64" s="2" t="n"/>
      <c r="U64" s="2" t="n"/>
      <c r="V64" s="2" t="n"/>
      <c r="W64" s="2" t="n"/>
      <c r="X64" s="2" t="n"/>
    </row>
    <row r="65">
      <c r="A65" s="2" t="inlineStr">
        <is>
          <t xml:space="preserve">    Volume - own brand</t>
        </is>
      </c>
      <c r="B65" s="2" t="n"/>
      <c r="C65" s="2" t="n"/>
      <c r="D65" s="2" t="n"/>
      <c r="E65" s="2" t="n"/>
      <c r="F65" s="33">
        <f>$B$130*(F164-B164)</f>
        <v/>
      </c>
      <c r="G65" s="33">
        <f>$B$130*(G164-C164)</f>
        <v/>
      </c>
      <c r="H65" s="33">
        <f>$B$130*(H164-D164)</f>
        <v/>
      </c>
      <c r="I65" s="33">
        <f>$B$130*(I164-E164)</f>
        <v/>
      </c>
      <c r="J65" s="33">
        <f>$B$130*(J164-F164)</f>
        <v/>
      </c>
      <c r="K65" s="33">
        <f>$B$130*(K164-G164)</f>
        <v/>
      </c>
      <c r="L65" s="33">
        <f>$B$130*(L164-H164)</f>
        <v/>
      </c>
      <c r="M65" s="33">
        <f>$B$130*(M164-I164)</f>
        <v/>
      </c>
      <c r="N65" s="2" t="n"/>
      <c r="O65" s="2" t="n"/>
      <c r="P65" s="2" t="n"/>
      <c r="Q65" s="2" t="n"/>
      <c r="R65" s="2" t="n"/>
      <c r="S65" s="2" t="n"/>
      <c r="T65" s="2" t="n"/>
      <c r="U65" s="2" t="n"/>
      <c r="V65" s="2" t="n"/>
      <c r="W65" s="2" t="n"/>
      <c r="X65" s="2" t="n"/>
    </row>
    <row r="66">
      <c r="A66" s="2" t="inlineStr">
        <is>
          <t xml:space="preserve">    Volume - Goodyear offtake</t>
        </is>
      </c>
      <c r="B66" s="2" t="n"/>
      <c r="C66" s="2" t="n"/>
      <c r="D66" s="2" t="n"/>
      <c r="E66" s="2" t="n"/>
      <c r="F66" s="33">
        <f>$B$131*(F165-B165)</f>
        <v/>
      </c>
      <c r="G66" s="33">
        <f>$B$131*(G165-C165)</f>
        <v/>
      </c>
      <c r="H66" s="33">
        <f>$B$131*(H165-D165)</f>
        <v/>
      </c>
      <c r="I66" s="33">
        <f>$B$131*(I165-E165)</f>
        <v/>
      </c>
      <c r="J66" s="33">
        <f>$B$131*(J165-F165)</f>
        <v/>
      </c>
      <c r="K66" s="33">
        <f>$B$131*(K165-G165)</f>
        <v/>
      </c>
      <c r="L66" s="33">
        <f>$B$131*(L165-H165)</f>
        <v/>
      </c>
      <c r="M66" s="33">
        <f>$B$131*(M165-I165)</f>
        <v/>
      </c>
      <c r="N66" s="2" t="n"/>
      <c r="O66" s="2" t="n"/>
      <c r="P66" s="2" t="n"/>
      <c r="Q66" s="2" t="n"/>
      <c r="R66" s="2" t="n"/>
      <c r="S66" s="2" t="n"/>
      <c r="T66" s="2" t="n"/>
      <c r="U66" s="2" t="n"/>
      <c r="V66" s="2" t="n"/>
      <c r="W66" s="2" t="n"/>
      <c r="X66" s="2" t="n"/>
    </row>
    <row r="67">
      <c r="A67" s="2" t="inlineStr">
        <is>
          <t xml:space="preserve">    Volume - SYNCHRO WEATHER</t>
        </is>
      </c>
      <c r="B67" s="2" t="n"/>
      <c r="C67" s="2" t="n"/>
      <c r="D67" s="2" t="n"/>
      <c r="E67" s="2" t="n"/>
      <c r="F67" s="33">
        <f>$B$132*(F166-B166)</f>
        <v/>
      </c>
      <c r="G67" s="33">
        <f>$B$132*(G166-C166)</f>
        <v/>
      </c>
      <c r="H67" s="33">
        <f>$B$132*(H166-D166)</f>
        <v/>
      </c>
      <c r="I67" s="33">
        <f>$B$132*(I166-E166)</f>
        <v/>
      </c>
      <c r="J67" s="33">
        <f>$B$132*(J166-F166)</f>
        <v/>
      </c>
      <c r="K67" s="33">
        <f>$B$132*(K166-G166)</f>
        <v/>
      </c>
      <c r="L67" s="33">
        <f>$B$132*(L166-H166)</f>
        <v/>
      </c>
      <c r="M67" s="33">
        <f>$B$132*(M166-I166)</f>
        <v/>
      </c>
      <c r="N67" s="2" t="n"/>
      <c r="O67" s="2" t="n"/>
      <c r="P67" s="2" t="n"/>
      <c r="Q67" s="2" t="n"/>
      <c r="R67" s="2" t="n"/>
      <c r="S67" s="2" t="n"/>
      <c r="T67" s="2" t="n"/>
      <c r="U67" s="2" t="n"/>
      <c r="V67" s="2" t="n"/>
      <c r="W67" s="2" t="n"/>
      <c r="X67" s="2" t="n"/>
    </row>
    <row r="68">
      <c r="A68" s="2" t="inlineStr">
        <is>
          <t xml:space="preserve">    Mix</t>
        </is>
      </c>
      <c r="B68" s="2" t="n"/>
      <c r="C68" s="2" t="n"/>
      <c r="D68" s="2" t="n"/>
      <c r="E68" s="2" t="n"/>
      <c r="F68" s="33">
        <f>F$141</f>
        <v/>
      </c>
      <c r="G68" s="33">
        <f>G$141</f>
        <v/>
      </c>
      <c r="H68" s="33">
        <f>B$36</f>
        <v/>
      </c>
      <c r="I68" s="33">
        <f>B$36</f>
        <v/>
      </c>
      <c r="J68" s="33">
        <f>B$36</f>
        <v/>
      </c>
      <c r="K68" s="33">
        <f>B$36</f>
        <v/>
      </c>
      <c r="L68" s="33">
        <f>B$36</f>
        <v/>
      </c>
      <c r="M68" s="33">
        <f>B$36</f>
        <v/>
      </c>
      <c r="N68" s="2" t="n"/>
      <c r="O68" s="2" t="n"/>
      <c r="P68" s="2" t="n"/>
      <c r="Q68" s="2" t="n"/>
      <c r="R68" s="2" t="n"/>
      <c r="S68" s="2" t="n"/>
      <c r="T68" s="2" t="n"/>
      <c r="U68" s="2" t="n"/>
      <c r="V68" s="2" t="n"/>
      <c r="W68" s="2" t="n"/>
      <c r="X68" s="2" t="n"/>
    </row>
    <row r="69">
      <c r="A69" s="2" t="inlineStr">
        <is>
          <t xml:space="preserve">    Unrealized profit</t>
        </is>
      </c>
      <c r="B69" s="2" t="n"/>
      <c r="C69" s="2" t="n"/>
      <c r="D69" s="2" t="n"/>
      <c r="E69" s="2" t="n"/>
      <c r="F69" s="33">
        <f>F$142</f>
        <v/>
      </c>
      <c r="G69" s="33">
        <f>G$142</f>
        <v/>
      </c>
      <c r="H69" s="33">
        <f>$B$153/4</f>
        <v/>
      </c>
      <c r="I69" s="33">
        <f>$B$153/4</f>
        <v/>
      </c>
      <c r="J69" s="33">
        <f>$B$153/4</f>
        <v/>
      </c>
      <c r="K69" s="33">
        <f>$B$153/4</f>
        <v/>
      </c>
      <c r="L69" s="33">
        <f>$C$153/4</f>
        <v/>
      </c>
      <c r="M69" s="33">
        <f>$C$153/4</f>
        <v/>
      </c>
      <c r="N69" s="2" t="n"/>
      <c r="O69" s="2" t="n"/>
      <c r="P69" s="2" t="n"/>
      <c r="Q69" s="2" t="n"/>
      <c r="R69" s="2" t="n"/>
      <c r="S69" s="2" t="n"/>
      <c r="T69" s="2" t="n"/>
      <c r="U69" s="2" t="n"/>
      <c r="V69" s="2" t="n"/>
      <c r="W69" s="2" t="n"/>
      <c r="X69" s="2" t="n"/>
    </row>
    <row r="70">
      <c r="A70" s="2" t="inlineStr">
        <is>
          <t xml:space="preserve">    Tariffs (AD / US / IEEPA refund)</t>
        </is>
      </c>
      <c r="B70" s="2" t="n"/>
      <c r="C70" s="2" t="n"/>
      <c r="D70" s="2" t="n"/>
      <c r="E70" s="2" t="n"/>
      <c r="F70" s="33">
        <f>F$143</f>
        <v/>
      </c>
      <c r="G70" s="33">
        <f>G$143</f>
        <v/>
      </c>
      <c r="H70" s="33">
        <f>$B$154/4</f>
        <v/>
      </c>
      <c r="I70" s="33">
        <f>$B$154/4</f>
        <v/>
      </c>
      <c r="J70" s="33">
        <f>$B$154/4</f>
        <v/>
      </c>
      <c r="K70" s="33">
        <f>$B$154/4</f>
        <v/>
      </c>
      <c r="L70" s="33">
        <f>$C$154/4</f>
        <v/>
      </c>
      <c r="M70" s="33">
        <f>$C$154/4</f>
        <v/>
      </c>
      <c r="N70" s="2" t="n"/>
      <c r="O70" s="2" t="n"/>
      <c r="P70" s="2" t="n"/>
      <c r="Q70" s="2" t="n"/>
      <c r="R70" s="2" t="n"/>
      <c r="S70" s="2" t="n"/>
      <c r="T70" s="2" t="n"/>
      <c r="U70" s="2" t="n"/>
      <c r="V70" s="2" t="n"/>
      <c r="W70" s="2" t="n"/>
      <c r="X70" s="2" t="n"/>
    </row>
    <row r="71">
      <c r="A71" s="2" t="inlineStr">
        <is>
          <t xml:space="preserve">    Freight</t>
        </is>
      </c>
      <c r="B71" s="2" t="n"/>
      <c r="C71" s="2" t="n"/>
      <c r="D71" s="2" t="n"/>
      <c r="E71" s="2" t="n"/>
      <c r="F71" s="33">
        <f>F$144</f>
        <v/>
      </c>
      <c r="G71" s="33">
        <f>G$144</f>
        <v/>
      </c>
      <c r="H71" s="33">
        <f>$B$155/4</f>
        <v/>
      </c>
      <c r="I71" s="33">
        <f>$B$155/4</f>
        <v/>
      </c>
      <c r="J71" s="33">
        <f>$B$155/4</f>
        <v/>
      </c>
      <c r="K71" s="33">
        <f>$B$155/4</f>
        <v/>
      </c>
      <c r="L71" s="33">
        <f>$C$155/4</f>
        <v/>
      </c>
      <c r="M71" s="33">
        <f>$C$155/4</f>
        <v/>
      </c>
      <c r="N71" s="2" t="n"/>
      <c r="O71" s="2" t="n"/>
      <c r="P71" s="2" t="n"/>
      <c r="Q71" s="2" t="n"/>
      <c r="R71" s="2" t="n"/>
      <c r="S71" s="2" t="n"/>
      <c r="T71" s="2" t="n"/>
      <c r="U71" s="2" t="n"/>
      <c r="V71" s="2" t="n"/>
      <c r="W71" s="2" t="n"/>
      <c r="X71" s="2" t="n"/>
    </row>
    <row r="72">
      <c r="A72" s="2" t="inlineStr">
        <is>
          <t xml:space="preserve">    Direct + fixed cost (Project ARK)</t>
        </is>
      </c>
      <c r="B72" s="2" t="n"/>
      <c r="C72" s="2" t="n"/>
      <c r="D72" s="2" t="n"/>
      <c r="E72" s="2" t="n"/>
      <c r="F72" s="33">
        <f>F$145</f>
        <v/>
      </c>
      <c r="G72" s="33">
        <f>G$145</f>
        <v/>
      </c>
      <c r="H72" s="33">
        <f>$B$156/4</f>
        <v/>
      </c>
      <c r="I72" s="33">
        <f>$B$156/4</f>
        <v/>
      </c>
      <c r="J72" s="33">
        <f>$B$156/4</f>
        <v/>
      </c>
      <c r="K72" s="33">
        <f>$B$156/4</f>
        <v/>
      </c>
      <c r="L72" s="33">
        <f>$C$156/4</f>
        <v/>
      </c>
      <c r="M72" s="33">
        <f>$C$156/4</f>
        <v/>
      </c>
      <c r="N72" s="2" t="n"/>
      <c r="O72" s="2" t="n"/>
      <c r="P72" s="2" t="n"/>
      <c r="Q72" s="2" t="n"/>
      <c r="R72" s="2" t="n"/>
      <c r="S72" s="2" t="n"/>
      <c r="T72" s="2" t="n"/>
      <c r="U72" s="2" t="n"/>
      <c r="V72" s="2" t="n"/>
      <c r="W72" s="2" t="n"/>
      <c r="X72" s="2" t="n"/>
    </row>
    <row r="73">
      <c r="A73" s="2" t="inlineStr">
        <is>
          <t xml:space="preserve">    FX</t>
        </is>
      </c>
      <c r="B73" s="2" t="n"/>
      <c r="C73" s="2" t="n"/>
      <c r="D73" s="2" t="n"/>
      <c r="E73" s="2" t="n"/>
      <c r="F73" s="33">
        <f>F$146</f>
        <v/>
      </c>
      <c r="G73" s="33">
        <f>G$146</f>
        <v/>
      </c>
      <c r="H73" s="8" t="n">
        <v>0</v>
      </c>
      <c r="I73" s="8" t="n">
        <v>0</v>
      </c>
      <c r="J73" s="8" t="n">
        <v>0</v>
      </c>
      <c r="K73" s="8" t="n">
        <v>0</v>
      </c>
      <c r="L73" s="8" t="n">
        <v>0</v>
      </c>
      <c r="M73" s="8" t="n">
        <v>0</v>
      </c>
      <c r="N73" s="2" t="n"/>
      <c r="O73" s="2" t="n"/>
      <c r="P73" s="2" t="n"/>
      <c r="Q73" s="2" t="n"/>
      <c r="R73" s="2" t="n"/>
      <c r="S73" s="2" t="n"/>
      <c r="T73" s="2" t="n"/>
      <c r="U73" s="2" t="n"/>
      <c r="V73" s="2" t="n"/>
      <c r="W73" s="2" t="n"/>
      <c r="X73" s="2" t="n"/>
    </row>
    <row r="74">
      <c r="A74" s="2" t="inlineStr">
        <is>
          <t xml:space="preserve">    Expenses</t>
        </is>
      </c>
      <c r="B74" s="2" t="n"/>
      <c r="C74" s="2" t="n"/>
      <c r="D74" s="2" t="n"/>
      <c r="E74" s="2" t="n"/>
      <c r="F74" s="33">
        <f>F$147</f>
        <v/>
      </c>
      <c r="G74" s="33">
        <f>G$147</f>
        <v/>
      </c>
      <c r="H74" s="33">
        <f>$B$157/4</f>
        <v/>
      </c>
      <c r="I74" s="33">
        <f>$B$157/4</f>
        <v/>
      </c>
      <c r="J74" s="33">
        <f>$B$157/4</f>
        <v/>
      </c>
      <c r="K74" s="33">
        <f>$B$157/4</f>
        <v/>
      </c>
      <c r="L74" s="33">
        <f>$C$157/4</f>
        <v/>
      </c>
      <c r="M74" s="33">
        <f>$C$157/4</f>
        <v/>
      </c>
      <c r="N74" s="2" t="n"/>
      <c r="O74" s="2" t="n"/>
      <c r="P74" s="2" t="n"/>
      <c r="Q74" s="2" t="n"/>
      <c r="R74" s="2" t="n"/>
      <c r="S74" s="2" t="n"/>
      <c r="T74" s="2" t="n"/>
      <c r="U74" s="2" t="n"/>
      <c r="V74" s="2" t="n"/>
      <c r="W74" s="2" t="n"/>
      <c r="X74" s="2" t="n"/>
    </row>
    <row r="75">
      <c r="A75" s="2" t="inlineStr">
        <is>
          <t xml:space="preserve">    Sports + industrial</t>
        </is>
      </c>
      <c r="B75" s="2" t="n"/>
      <c r="C75" s="2" t="n"/>
      <c r="D75" s="2" t="n"/>
      <c r="E75" s="2" t="n"/>
      <c r="F75" s="33">
        <f>F$148</f>
        <v/>
      </c>
      <c r="G75" s="33">
        <f>G$148</f>
        <v/>
      </c>
      <c r="H75" s="33">
        <f>$B$158/4</f>
        <v/>
      </c>
      <c r="I75" s="33">
        <f>$B$158/4</f>
        <v/>
      </c>
      <c r="J75" s="33">
        <f>$B$158/4</f>
        <v/>
      </c>
      <c r="K75" s="33">
        <f>$B$158/4</f>
        <v/>
      </c>
      <c r="L75" s="33">
        <f>$C$158/4</f>
        <v/>
      </c>
      <c r="M75" s="33">
        <f>$C$158/4</f>
        <v/>
      </c>
      <c r="N75" s="2" t="n"/>
      <c r="O75" s="2" t="n"/>
      <c r="P75" s="2" t="n"/>
      <c r="Q75" s="2" t="n"/>
      <c r="R75" s="2" t="n"/>
      <c r="S75" s="2" t="n"/>
      <c r="T75" s="2" t="n"/>
      <c r="U75" s="2" t="n"/>
      <c r="V75" s="2" t="n"/>
      <c r="W75" s="2" t="n"/>
      <c r="X75" s="2" t="n"/>
    </row>
    <row r="76">
      <c r="A76" s="2" t="inlineStr">
        <is>
          <t xml:space="preserve">  Σ YoY change</t>
        </is>
      </c>
      <c r="B76" s="2" t="n"/>
      <c r="C76" s="2" t="n"/>
      <c r="D76" s="2" t="n"/>
      <c r="E76" s="2" t="n"/>
      <c r="F76" s="33">
        <f>SUM(F63:F75)</f>
        <v/>
      </c>
      <c r="G76" s="33">
        <f>SUM(G63:G75)</f>
        <v/>
      </c>
      <c r="H76" s="33">
        <f>SUM(H63:H75)</f>
        <v/>
      </c>
      <c r="I76" s="33">
        <f>SUM(I63:I75)</f>
        <v/>
      </c>
      <c r="J76" s="33">
        <f>SUM(J63:J75)</f>
        <v/>
      </c>
      <c r="K76" s="33">
        <f>SUM(K63:K75)</f>
        <v/>
      </c>
      <c r="L76" s="33">
        <f>SUM(L63:L75)</f>
        <v/>
      </c>
      <c r="M76" s="33">
        <f>SUM(M63:M75)</f>
        <v/>
      </c>
      <c r="N76" s="2" t="n"/>
      <c r="O76" s="2" t="n"/>
      <c r="P76" s="2" t="n"/>
      <c r="Q76" s="2" t="n"/>
      <c r="R76" s="2" t="n"/>
      <c r="S76" s="2" t="n"/>
      <c r="T76" s="2" t="n"/>
      <c r="U76" s="2" t="n"/>
      <c r="V76" s="2" t="n"/>
      <c r="W76" s="2" t="n"/>
      <c r="X76" s="2" t="n"/>
    </row>
    <row r="77">
      <c r="A77" s="3" t="inlineStr">
        <is>
          <t xml:space="preserve">  Business profit (事業利益)</t>
        </is>
      </c>
      <c r="B77" s="2" t="n"/>
      <c r="C77" s="2" t="n"/>
      <c r="D77" s="2" t="n"/>
      <c r="E77" s="2" t="n"/>
      <c r="F77" s="34">
        <f>F62+F76</f>
        <v/>
      </c>
      <c r="G77" s="34">
        <f>G62+G76</f>
        <v/>
      </c>
      <c r="H77" s="34">
        <f>H62+H76</f>
        <v/>
      </c>
      <c r="I77" s="34">
        <f>I62+I76</f>
        <v/>
      </c>
      <c r="J77" s="34">
        <f>J62+J76</f>
        <v/>
      </c>
      <c r="K77" s="34">
        <f>K62+K76</f>
        <v/>
      </c>
      <c r="L77" s="34">
        <f>L62+L76</f>
        <v/>
      </c>
      <c r="M77" s="34">
        <f>M62+M76</f>
        <v/>
      </c>
      <c r="N77" s="2" t="n"/>
      <c r="O77" s="2" t="n"/>
      <c r="P77" s="2" t="n"/>
      <c r="Q77" s="2" t="n"/>
      <c r="R77" s="2" t="n"/>
      <c r="S77" s="2" t="n"/>
      <c r="T77" s="2" t="n"/>
      <c r="U77" s="2" t="n"/>
      <c r="V77" s="2" t="n"/>
      <c r="W77" s="2" t="n"/>
      <c r="X77" s="2" t="n"/>
    </row>
    <row r="78">
      <c r="A78" s="2" t="inlineStr">
        <is>
          <t xml:space="preserve">  → OP adjustment (other income / expense)</t>
        </is>
      </c>
      <c r="B78" s="2" t="n"/>
      <c r="C78" s="2" t="n"/>
      <c r="D78" s="2" t="n"/>
      <c r="E78" s="2" t="n"/>
      <c r="F78" s="8" t="n">
        <v>-17.5</v>
      </c>
      <c r="G78" s="8" t="n">
        <v>-17.5</v>
      </c>
      <c r="H78" s="8" t="n">
        <v>-17.5</v>
      </c>
      <c r="I78" s="8" t="n">
        <v>-17.5</v>
      </c>
      <c r="J78" s="8" t="n">
        <v>-17.5</v>
      </c>
      <c r="K78" s="8" t="n">
        <v>-17.5</v>
      </c>
      <c r="L78" s="8" t="n">
        <v>-17.5</v>
      </c>
      <c r="M78" s="8" t="n">
        <v>-17.5</v>
      </c>
      <c r="N78" s="2" t="n"/>
      <c r="O78" s="2" t="n"/>
      <c r="P78" s="2" t="n"/>
      <c r="Q78" s="2" t="n"/>
      <c r="R78" s="2" t="n"/>
      <c r="S78" s="2" t="n"/>
      <c r="T78" s="2" t="n"/>
      <c r="U78" s="2" t="n"/>
      <c r="V78" s="2" t="n"/>
      <c r="W78" s="2" t="n"/>
      <c r="X78" s="2" t="n"/>
    </row>
    <row r="79">
      <c r="A79" s="3" t="inlineStr">
        <is>
          <t xml:space="preserve">  Operating profit</t>
        </is>
      </c>
      <c r="B79" s="2" t="n"/>
      <c r="C79" s="2" t="n"/>
      <c r="D79" s="2" t="n"/>
      <c r="E79" s="2" t="n"/>
      <c r="F79" s="34">
        <f>F77+F78</f>
        <v/>
      </c>
      <c r="G79" s="34">
        <f>G77+G78</f>
        <v/>
      </c>
      <c r="H79" s="34">
        <f>H77+H78</f>
        <v/>
      </c>
      <c r="I79" s="34">
        <f>I77+I78</f>
        <v/>
      </c>
      <c r="J79" s="34">
        <f>J77+J78</f>
        <v/>
      </c>
      <c r="K79" s="34">
        <f>K77+K78</f>
        <v/>
      </c>
      <c r="L79" s="34">
        <f>L77+L78</f>
        <v/>
      </c>
      <c r="M79" s="34">
        <f>M77+M78</f>
        <v/>
      </c>
      <c r="N79" s="2" t="n"/>
      <c r="O79" s="2" t="n"/>
      <c r="P79" s="2" t="n"/>
      <c r="Q79" s="2" t="n"/>
      <c r="R79" s="2" t="n"/>
      <c r="S79" s="2" t="n"/>
      <c r="T79" s="2" t="n"/>
      <c r="U79" s="2" t="n"/>
      <c r="V79" s="2" t="n"/>
      <c r="W79" s="2" t="n"/>
      <c r="X79" s="2" t="n"/>
    </row>
    <row r="80">
      <c r="A80" s="2" t="inlineStr">
        <is>
          <t xml:space="preserve">  Sales (this case's growth path)</t>
        </is>
      </c>
      <c r="B80" s="2" t="n"/>
      <c r="C80" s="2" t="n"/>
      <c r="D80" s="2" t="n"/>
      <c r="E80" s="2" t="n"/>
      <c r="F80" s="7">
        <f>FS!I4*(1+F43/100)</f>
        <v/>
      </c>
      <c r="G80" s="33">
        <f>F80*(1+G43/100)</f>
        <v/>
      </c>
      <c r="H80" s="33">
        <f>G80*(1+H43/100)</f>
        <v/>
      </c>
      <c r="I80" s="33">
        <f>H80*(1+I43/100)</f>
        <v/>
      </c>
      <c r="J80" s="33">
        <f>I80*(1+J43/100)</f>
        <v/>
      </c>
      <c r="K80" s="33">
        <f>J80*(1+K43/100)</f>
        <v/>
      </c>
      <c r="L80" s="33">
        <f>K80*(1+L43/100)</f>
        <v/>
      </c>
      <c r="M80" s="33">
        <f>L80*(1+M43/100)</f>
        <v/>
      </c>
      <c r="N80" s="2" t="n"/>
      <c r="O80" s="2" t="n"/>
      <c r="P80" s="2" t="n"/>
      <c r="Q80" s="2" t="n"/>
      <c r="R80" s="2" t="n"/>
      <c r="S80" s="2" t="n"/>
      <c r="T80" s="2" t="n"/>
      <c r="U80" s="2" t="n"/>
      <c r="V80" s="2" t="n"/>
      <c r="W80" s="2" t="n"/>
      <c r="X80" s="2" t="n"/>
    </row>
    <row r="81">
      <c r="A81" s="3" t="inlineStr">
        <is>
          <t xml:space="preserve">  OPM (%)  → feeds the OPM row</t>
        </is>
      </c>
      <c r="B81" s="2" t="n"/>
      <c r="C81" s="2" t="n"/>
      <c r="D81" s="2" t="n"/>
      <c r="E81" s="2" t="n"/>
      <c r="F81" s="32">
        <f>F79/F80*100</f>
        <v/>
      </c>
      <c r="G81" s="32">
        <f>G79/G80*100</f>
        <v/>
      </c>
      <c r="H81" s="32">
        <f>H79/H80*100</f>
        <v/>
      </c>
      <c r="I81" s="32">
        <f>I79/I80*100</f>
        <v/>
      </c>
      <c r="J81" s="32">
        <f>J79/J80*100</f>
        <v/>
      </c>
      <c r="K81" s="32">
        <f>K79/K80*100</f>
        <v/>
      </c>
      <c r="L81" s="32">
        <f>L79/L80*100</f>
        <v/>
      </c>
      <c r="M81" s="32">
        <f>M79/M80*100</f>
        <v/>
      </c>
      <c r="N81" s="2" t="n"/>
      <c r="O81" s="2" t="n"/>
      <c r="P81" s="2" t="n"/>
      <c r="Q81" s="2" t="n"/>
      <c r="R81" s="2" t="n"/>
      <c r="S81" s="2" t="n"/>
      <c r="T81" s="2" t="n"/>
      <c r="U81" s="2" t="n"/>
      <c r="V81" s="2" t="n"/>
      <c r="W81" s="2" t="n"/>
      <c r="X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row>
    <row r="83">
      <c r="A83" s="6" t="inlineStr">
        <is>
          <t>2. Base</t>
        </is>
      </c>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row>
    <row r="84">
      <c r="A84" s="2" t="inlineStr">
        <is>
          <t xml:space="preserve">  Business profit, same Q last year</t>
        </is>
      </c>
      <c r="B84" s="2" t="n"/>
      <c r="C84" s="2" t="n"/>
      <c r="D84" s="2" t="n"/>
      <c r="E84" s="2" t="n"/>
      <c r="F84" s="8" t="n">
        <v>202</v>
      </c>
      <c r="G84" s="8" t="n">
        <v>423</v>
      </c>
      <c r="H84" s="8" t="n">
        <v>168</v>
      </c>
      <c r="I84" s="8" t="n">
        <v>230</v>
      </c>
      <c r="J84" s="33">
        <f>F99</f>
        <v/>
      </c>
      <c r="K84" s="33">
        <f>G99</f>
        <v/>
      </c>
      <c r="L84" s="33">
        <f>H99</f>
        <v/>
      </c>
      <c r="M84" s="33">
        <f>I99</f>
        <v/>
      </c>
      <c r="N84" s="2" t="n"/>
      <c r="O84" s="2" t="n"/>
      <c r="P84" s="2" t="n"/>
      <c r="Q84" s="2" t="n"/>
      <c r="R84" s="2" t="n"/>
      <c r="S84" s="2" t="n"/>
      <c r="T84" s="2" t="n"/>
      <c r="U84" s="2" t="n"/>
      <c r="V84" s="2" t="n"/>
      <c r="W84" s="2" t="n"/>
      <c r="X84" s="2" t="n"/>
    </row>
    <row r="85">
      <c r="A85" s="2" t="inlineStr">
        <is>
          <t xml:space="preserve">    Raw materials (TSR20 / Dubai, lagged) x tonnes</t>
        </is>
      </c>
      <c r="B85" s="2" t="n"/>
      <c r="C85" s="2" t="n"/>
      <c r="D85" s="8" t="n">
        <v>100</v>
      </c>
      <c r="E85" s="8" t="n">
        <v>54</v>
      </c>
      <c r="F85" s="33">
        <f>-$B$128*F169*(F170-B170)+F$149</f>
        <v/>
      </c>
      <c r="G85" s="33">
        <f>-$B$128*G169*(G170-C170)+G$149</f>
        <v/>
      </c>
      <c r="H85" s="33">
        <f>-$B$128*H169*(H170-D170)-$B$129*H169*(H171-D171)</f>
        <v/>
      </c>
      <c r="I85" s="33">
        <f>-$B$128*I169*(I170-E170)-$B$129*I169*(I171-E171)</f>
        <v/>
      </c>
      <c r="J85" s="33">
        <f>-$B$128*J169*(J170-F170)-$B$129*J169*(J171-F171)</f>
        <v/>
      </c>
      <c r="K85" s="33">
        <f>-$B$128*K169*(K170-G170)-$B$129*K169*(K171-G171)</f>
        <v/>
      </c>
      <c r="L85" s="33">
        <f>-$B$128*L169*(L170-H170)-$B$129*L169*(L171-H171)</f>
        <v/>
      </c>
      <c r="M85" s="33">
        <f>-$B$128*M169*(M170-I170)-$B$129*M169*(M171-I171)</f>
        <v/>
      </c>
      <c r="N85" s="2" t="n"/>
      <c r="O85" s="2" t="n"/>
      <c r="P85" s="2" t="n"/>
      <c r="Q85" s="2" t="n"/>
      <c r="R85" s="2" t="n"/>
      <c r="S85" s="2" t="n"/>
      <c r="T85" s="2" t="n"/>
      <c r="U85" s="2" t="n"/>
      <c r="V85" s="2" t="n"/>
      <c r="W85" s="2" t="n"/>
      <c r="X85" s="2" t="n"/>
    </row>
    <row r="86">
      <c r="A86" s="2" t="inlineStr">
        <is>
          <t xml:space="preserve">    Price pass-through</t>
        </is>
      </c>
      <c r="B86" s="2" t="n"/>
      <c r="C86" s="2" t="n"/>
      <c r="D86" s="2" t="n"/>
      <c r="E86" s="2" t="n"/>
      <c r="F86" s="33">
        <f>F$140*C$30/100</f>
        <v/>
      </c>
      <c r="G86" s="33">
        <f>G$140*C$30/100</f>
        <v/>
      </c>
      <c r="H86" s="33">
        <f>-C$29*AVERAGE(D85:G85)</f>
        <v/>
      </c>
      <c r="I86" s="33">
        <f>-C$29*AVERAGE(E85:H85)</f>
        <v/>
      </c>
      <c r="J86" s="33">
        <f>-C$29*AVERAGE(F85:I85)</f>
        <v/>
      </c>
      <c r="K86" s="33">
        <f>-C$29*AVERAGE(G85:J85)</f>
        <v/>
      </c>
      <c r="L86" s="33">
        <f>-C$29*AVERAGE(H85:K85)</f>
        <v/>
      </c>
      <c r="M86" s="33">
        <f>-C$29*AVERAGE(I85:L85)</f>
        <v/>
      </c>
      <c r="N86" s="2" t="n"/>
      <c r="O86" s="2" t="n"/>
      <c r="P86" s="2" t="n"/>
      <c r="Q86" s="2" t="n"/>
      <c r="R86" s="2" t="n"/>
      <c r="S86" s="2" t="n"/>
      <c r="T86" s="2" t="n"/>
      <c r="U86" s="2" t="n"/>
      <c r="V86" s="2" t="n"/>
      <c r="W86" s="2" t="n"/>
      <c r="X86" s="2" t="n"/>
    </row>
    <row r="87">
      <c r="A87" s="2" t="inlineStr">
        <is>
          <t xml:space="preserve">    Volume - own brand</t>
        </is>
      </c>
      <c r="B87" s="2" t="n"/>
      <c r="C87" s="2" t="n"/>
      <c r="D87" s="2" t="n"/>
      <c r="E87" s="2" t="n"/>
      <c r="F87" s="33">
        <f>$B$130*(F172-B172)</f>
        <v/>
      </c>
      <c r="G87" s="33">
        <f>$B$130*(G172-C172)</f>
        <v/>
      </c>
      <c r="H87" s="33">
        <f>$B$130*(H172-D172)</f>
        <v/>
      </c>
      <c r="I87" s="33">
        <f>$B$130*(I172-E172)</f>
        <v/>
      </c>
      <c r="J87" s="33">
        <f>$B$130*(J172-F172)</f>
        <v/>
      </c>
      <c r="K87" s="33">
        <f>$B$130*(K172-G172)</f>
        <v/>
      </c>
      <c r="L87" s="33">
        <f>$B$130*(L172-H172)</f>
        <v/>
      </c>
      <c r="M87" s="33">
        <f>$B$130*(M172-I172)</f>
        <v/>
      </c>
      <c r="N87" s="2" t="n"/>
      <c r="O87" s="2" t="n"/>
      <c r="P87" s="2" t="n"/>
      <c r="Q87" s="2" t="n"/>
      <c r="R87" s="2" t="n"/>
      <c r="S87" s="2" t="n"/>
      <c r="T87" s="2" t="n"/>
      <c r="U87" s="2" t="n"/>
      <c r="V87" s="2" t="n"/>
      <c r="W87" s="2" t="n"/>
      <c r="X87" s="2" t="n"/>
    </row>
    <row r="88">
      <c r="A88" s="2" t="inlineStr">
        <is>
          <t xml:space="preserve">    Volume - Goodyear offtake</t>
        </is>
      </c>
      <c r="B88" s="2" t="n"/>
      <c r="C88" s="2" t="n"/>
      <c r="D88" s="2" t="n"/>
      <c r="E88" s="2" t="n"/>
      <c r="F88" s="33">
        <f>$B$131*(F173-B173)</f>
        <v/>
      </c>
      <c r="G88" s="33">
        <f>$B$131*(G173-C173)</f>
        <v/>
      </c>
      <c r="H88" s="33">
        <f>$B$131*(H173-D173)</f>
        <v/>
      </c>
      <c r="I88" s="33">
        <f>$B$131*(I173-E173)</f>
        <v/>
      </c>
      <c r="J88" s="33">
        <f>$B$131*(J173-F173)</f>
        <v/>
      </c>
      <c r="K88" s="33">
        <f>$B$131*(K173-G173)</f>
        <v/>
      </c>
      <c r="L88" s="33">
        <f>$B$131*(L173-H173)</f>
        <v/>
      </c>
      <c r="M88" s="33">
        <f>$B$131*(M173-I173)</f>
        <v/>
      </c>
      <c r="N88" s="2" t="n"/>
      <c r="O88" s="2" t="n"/>
      <c r="P88" s="2" t="n"/>
      <c r="Q88" s="2" t="n"/>
      <c r="R88" s="2" t="n"/>
      <c r="S88" s="2" t="n"/>
      <c r="T88" s="2" t="n"/>
      <c r="U88" s="2" t="n"/>
      <c r="V88" s="2" t="n"/>
      <c r="W88" s="2" t="n"/>
      <c r="X88" s="2" t="n"/>
    </row>
    <row r="89">
      <c r="A89" s="2" t="inlineStr">
        <is>
          <t xml:space="preserve">    Volume - SYNCHRO WEATHER</t>
        </is>
      </c>
      <c r="B89" s="2" t="n"/>
      <c r="C89" s="2" t="n"/>
      <c r="D89" s="2" t="n"/>
      <c r="E89" s="2" t="n"/>
      <c r="F89" s="33">
        <f>$B$132*(F174-B174)</f>
        <v/>
      </c>
      <c r="G89" s="33">
        <f>$B$132*(G174-C174)</f>
        <v/>
      </c>
      <c r="H89" s="33">
        <f>$B$132*(H174-D174)</f>
        <v/>
      </c>
      <c r="I89" s="33">
        <f>$B$132*(I174-E174)</f>
        <v/>
      </c>
      <c r="J89" s="33">
        <f>$B$132*(J174-F174)</f>
        <v/>
      </c>
      <c r="K89" s="33">
        <f>$B$132*(K174-G174)</f>
        <v/>
      </c>
      <c r="L89" s="33">
        <f>$B$132*(L174-H174)</f>
        <v/>
      </c>
      <c r="M89" s="33">
        <f>$B$132*(M174-I174)</f>
        <v/>
      </c>
      <c r="N89" s="2" t="n"/>
      <c r="O89" s="2" t="n"/>
      <c r="P89" s="2" t="n"/>
      <c r="Q89" s="2" t="n"/>
      <c r="R89" s="2" t="n"/>
      <c r="S89" s="2" t="n"/>
      <c r="T89" s="2" t="n"/>
      <c r="U89" s="2" t="n"/>
      <c r="V89" s="2" t="n"/>
      <c r="W89" s="2" t="n"/>
      <c r="X89" s="2" t="n"/>
    </row>
    <row r="90">
      <c r="A90" s="2" t="inlineStr">
        <is>
          <t xml:space="preserve">    Mix</t>
        </is>
      </c>
      <c r="B90" s="2" t="n"/>
      <c r="C90" s="2" t="n"/>
      <c r="D90" s="2" t="n"/>
      <c r="E90" s="2" t="n"/>
      <c r="F90" s="33">
        <f>F$141</f>
        <v/>
      </c>
      <c r="G90" s="33">
        <f>G$141</f>
        <v/>
      </c>
      <c r="H90" s="33">
        <f>C$36</f>
        <v/>
      </c>
      <c r="I90" s="33">
        <f>C$36</f>
        <v/>
      </c>
      <c r="J90" s="33">
        <f>C$36</f>
        <v/>
      </c>
      <c r="K90" s="33">
        <f>C$36</f>
        <v/>
      </c>
      <c r="L90" s="33">
        <f>C$36</f>
        <v/>
      </c>
      <c r="M90" s="33">
        <f>C$36</f>
        <v/>
      </c>
      <c r="N90" s="2" t="n"/>
      <c r="O90" s="2" t="n"/>
      <c r="P90" s="2" t="n"/>
      <c r="Q90" s="2" t="n"/>
      <c r="R90" s="2" t="n"/>
      <c r="S90" s="2" t="n"/>
      <c r="T90" s="2" t="n"/>
      <c r="U90" s="2" t="n"/>
      <c r="V90" s="2" t="n"/>
      <c r="W90" s="2" t="n"/>
      <c r="X90" s="2" t="n"/>
    </row>
    <row r="91">
      <c r="A91" s="2" t="inlineStr">
        <is>
          <t xml:space="preserve">    Unrealized profit</t>
        </is>
      </c>
      <c r="B91" s="2" t="n"/>
      <c r="C91" s="2" t="n"/>
      <c r="D91" s="2" t="n"/>
      <c r="E91" s="2" t="n"/>
      <c r="F91" s="33">
        <f>F$142</f>
        <v/>
      </c>
      <c r="G91" s="33">
        <f>G$142</f>
        <v/>
      </c>
      <c r="H91" s="33">
        <f>$B$153/4</f>
        <v/>
      </c>
      <c r="I91" s="33">
        <f>$B$153/4</f>
        <v/>
      </c>
      <c r="J91" s="33">
        <f>$B$153/4</f>
        <v/>
      </c>
      <c r="K91" s="33">
        <f>$B$153/4</f>
        <v/>
      </c>
      <c r="L91" s="33">
        <f>$C$153/4</f>
        <v/>
      </c>
      <c r="M91" s="33">
        <f>$C$153/4</f>
        <v/>
      </c>
      <c r="N91" s="2" t="n"/>
      <c r="O91" s="2" t="n"/>
      <c r="P91" s="2" t="n"/>
      <c r="Q91" s="2" t="n"/>
      <c r="R91" s="2" t="n"/>
      <c r="S91" s="2" t="n"/>
      <c r="T91" s="2" t="n"/>
      <c r="U91" s="2" t="n"/>
      <c r="V91" s="2" t="n"/>
      <c r="W91" s="2" t="n"/>
      <c r="X91" s="2" t="n"/>
    </row>
    <row r="92">
      <c r="A92" s="2" t="inlineStr">
        <is>
          <t xml:space="preserve">    Tariffs (AD / US / IEEPA refund)</t>
        </is>
      </c>
      <c r="B92" s="2" t="n"/>
      <c r="C92" s="2" t="n"/>
      <c r="D92" s="2" t="n"/>
      <c r="E92" s="2" t="n"/>
      <c r="F92" s="33">
        <f>F$143</f>
        <v/>
      </c>
      <c r="G92" s="33">
        <f>G$143</f>
        <v/>
      </c>
      <c r="H92" s="33">
        <f>$B$154/4</f>
        <v/>
      </c>
      <c r="I92" s="33">
        <f>$B$154/4</f>
        <v/>
      </c>
      <c r="J92" s="33">
        <f>$B$154/4</f>
        <v/>
      </c>
      <c r="K92" s="33">
        <f>$B$154/4</f>
        <v/>
      </c>
      <c r="L92" s="33">
        <f>$C$154/4</f>
        <v/>
      </c>
      <c r="M92" s="33">
        <f>$C$154/4</f>
        <v/>
      </c>
      <c r="N92" s="2" t="n"/>
      <c r="O92" s="2" t="n"/>
      <c r="P92" s="2" t="n"/>
      <c r="Q92" s="2" t="n"/>
      <c r="R92" s="2" t="n"/>
      <c r="S92" s="2" t="n"/>
      <c r="T92" s="2" t="n"/>
      <c r="U92" s="2" t="n"/>
      <c r="V92" s="2" t="n"/>
      <c r="W92" s="2" t="n"/>
      <c r="X92" s="2" t="n"/>
    </row>
    <row r="93">
      <c r="A93" s="2" t="inlineStr">
        <is>
          <t xml:space="preserve">    Freight</t>
        </is>
      </c>
      <c r="B93" s="2" t="n"/>
      <c r="C93" s="2" t="n"/>
      <c r="D93" s="2" t="n"/>
      <c r="E93" s="2" t="n"/>
      <c r="F93" s="33">
        <f>F$144</f>
        <v/>
      </c>
      <c r="G93" s="33">
        <f>G$144</f>
        <v/>
      </c>
      <c r="H93" s="33">
        <f>$B$155/4</f>
        <v/>
      </c>
      <c r="I93" s="33">
        <f>$B$155/4</f>
        <v/>
      </c>
      <c r="J93" s="33">
        <f>$B$155/4</f>
        <v/>
      </c>
      <c r="K93" s="33">
        <f>$B$155/4</f>
        <v/>
      </c>
      <c r="L93" s="33">
        <f>$C$155/4</f>
        <v/>
      </c>
      <c r="M93" s="33">
        <f>$C$155/4</f>
        <v/>
      </c>
      <c r="N93" s="2" t="n"/>
      <c r="O93" s="2" t="n"/>
      <c r="P93" s="2" t="n"/>
      <c r="Q93" s="2" t="n"/>
      <c r="R93" s="2" t="n"/>
      <c r="S93" s="2" t="n"/>
      <c r="T93" s="2" t="n"/>
      <c r="U93" s="2" t="n"/>
      <c r="V93" s="2" t="n"/>
      <c r="W93" s="2" t="n"/>
      <c r="X93" s="2" t="n"/>
    </row>
    <row r="94">
      <c r="A94" s="2" t="inlineStr">
        <is>
          <t xml:space="preserve">    Direct + fixed cost (Project ARK)</t>
        </is>
      </c>
      <c r="B94" s="2" t="n"/>
      <c r="C94" s="2" t="n"/>
      <c r="D94" s="2" t="n"/>
      <c r="E94" s="2" t="n"/>
      <c r="F94" s="33">
        <f>F$145</f>
        <v/>
      </c>
      <c r="G94" s="33">
        <f>G$145</f>
        <v/>
      </c>
      <c r="H94" s="33">
        <f>$B$156/4</f>
        <v/>
      </c>
      <c r="I94" s="33">
        <f>$B$156/4</f>
        <v/>
      </c>
      <c r="J94" s="33">
        <f>$B$156/4</f>
        <v/>
      </c>
      <c r="K94" s="33">
        <f>$B$156/4</f>
        <v/>
      </c>
      <c r="L94" s="33">
        <f>$C$156/4</f>
        <v/>
      </c>
      <c r="M94" s="33">
        <f>$C$156/4</f>
        <v/>
      </c>
      <c r="N94" s="2" t="n"/>
      <c r="O94" s="2" t="n"/>
      <c r="P94" s="2" t="n"/>
      <c r="Q94" s="2" t="n"/>
      <c r="R94" s="2" t="n"/>
      <c r="S94" s="2" t="n"/>
      <c r="T94" s="2" t="n"/>
      <c r="U94" s="2" t="n"/>
      <c r="V94" s="2" t="n"/>
      <c r="W94" s="2" t="n"/>
      <c r="X94" s="2" t="n"/>
    </row>
    <row r="95">
      <c r="A95" s="2" t="inlineStr">
        <is>
          <t xml:space="preserve">    FX</t>
        </is>
      </c>
      <c r="B95" s="2" t="n"/>
      <c r="C95" s="2" t="n"/>
      <c r="D95" s="2" t="n"/>
      <c r="E95" s="2" t="n"/>
      <c r="F95" s="33">
        <f>F$146</f>
        <v/>
      </c>
      <c r="G95" s="33">
        <f>G$146</f>
        <v/>
      </c>
      <c r="H95" s="8" t="n">
        <v>0</v>
      </c>
      <c r="I95" s="8" t="n">
        <v>0</v>
      </c>
      <c r="J95" s="8" t="n">
        <v>0</v>
      </c>
      <c r="K95" s="8" t="n">
        <v>0</v>
      </c>
      <c r="L95" s="8" t="n">
        <v>0</v>
      </c>
      <c r="M95" s="8" t="n">
        <v>0</v>
      </c>
      <c r="N95" s="2" t="n"/>
      <c r="O95" s="2" t="n"/>
      <c r="P95" s="2" t="n"/>
      <c r="Q95" s="2" t="n"/>
      <c r="R95" s="2" t="n"/>
      <c r="S95" s="2" t="n"/>
      <c r="T95" s="2" t="n"/>
      <c r="U95" s="2" t="n"/>
      <c r="V95" s="2" t="n"/>
      <c r="W95" s="2" t="n"/>
      <c r="X95" s="2" t="n"/>
    </row>
    <row r="96">
      <c r="A96" s="2" t="inlineStr">
        <is>
          <t xml:space="preserve">    Expenses</t>
        </is>
      </c>
      <c r="B96" s="2" t="n"/>
      <c r="C96" s="2" t="n"/>
      <c r="D96" s="2" t="n"/>
      <c r="E96" s="2" t="n"/>
      <c r="F96" s="33">
        <f>F$147</f>
        <v/>
      </c>
      <c r="G96" s="33">
        <f>G$147</f>
        <v/>
      </c>
      <c r="H96" s="33">
        <f>$B$157/4</f>
        <v/>
      </c>
      <c r="I96" s="33">
        <f>$B$157/4</f>
        <v/>
      </c>
      <c r="J96" s="33">
        <f>$B$157/4</f>
        <v/>
      </c>
      <c r="K96" s="33">
        <f>$B$157/4</f>
        <v/>
      </c>
      <c r="L96" s="33">
        <f>$C$157/4</f>
        <v/>
      </c>
      <c r="M96" s="33">
        <f>$C$157/4</f>
        <v/>
      </c>
      <c r="N96" s="2" t="n"/>
      <c r="O96" s="2" t="n"/>
      <c r="P96" s="2" t="n"/>
      <c r="Q96" s="2" t="n"/>
      <c r="R96" s="2" t="n"/>
      <c r="S96" s="2" t="n"/>
      <c r="T96" s="2" t="n"/>
      <c r="U96" s="2" t="n"/>
      <c r="V96" s="2" t="n"/>
      <c r="W96" s="2" t="n"/>
      <c r="X96" s="2" t="n"/>
    </row>
    <row r="97">
      <c r="A97" s="2" t="inlineStr">
        <is>
          <t xml:space="preserve">    Sports + industrial</t>
        </is>
      </c>
      <c r="B97" s="2" t="n"/>
      <c r="C97" s="2" t="n"/>
      <c r="D97" s="2" t="n"/>
      <c r="E97" s="2" t="n"/>
      <c r="F97" s="33">
        <f>F$148</f>
        <v/>
      </c>
      <c r="G97" s="33">
        <f>G$148</f>
        <v/>
      </c>
      <c r="H97" s="33">
        <f>$B$158/4</f>
        <v/>
      </c>
      <c r="I97" s="33">
        <f>$B$158/4</f>
        <v/>
      </c>
      <c r="J97" s="33">
        <f>$B$158/4</f>
        <v/>
      </c>
      <c r="K97" s="33">
        <f>$B$158/4</f>
        <v/>
      </c>
      <c r="L97" s="33">
        <f>$C$158/4</f>
        <v/>
      </c>
      <c r="M97" s="33">
        <f>$C$158/4</f>
        <v/>
      </c>
      <c r="N97" s="2" t="n"/>
      <c r="O97" s="2" t="n"/>
      <c r="P97" s="2" t="n"/>
      <c r="Q97" s="2" t="n"/>
      <c r="R97" s="2" t="n"/>
      <c r="S97" s="2" t="n"/>
      <c r="T97" s="2" t="n"/>
      <c r="U97" s="2" t="n"/>
      <c r="V97" s="2" t="n"/>
      <c r="W97" s="2" t="n"/>
      <c r="X97" s="2" t="n"/>
    </row>
    <row r="98">
      <c r="A98" s="2" t="inlineStr">
        <is>
          <t xml:space="preserve">  Σ YoY change</t>
        </is>
      </c>
      <c r="B98" s="2" t="n"/>
      <c r="C98" s="2" t="n"/>
      <c r="D98" s="2" t="n"/>
      <c r="E98" s="2" t="n"/>
      <c r="F98" s="33">
        <f>SUM(F85:F97)</f>
        <v/>
      </c>
      <c r="G98" s="33">
        <f>SUM(G85:G97)</f>
        <v/>
      </c>
      <c r="H98" s="33">
        <f>SUM(H85:H97)</f>
        <v/>
      </c>
      <c r="I98" s="33">
        <f>SUM(I85:I97)</f>
        <v/>
      </c>
      <c r="J98" s="33">
        <f>SUM(J85:J97)</f>
        <v/>
      </c>
      <c r="K98" s="33">
        <f>SUM(K85:K97)</f>
        <v/>
      </c>
      <c r="L98" s="33">
        <f>SUM(L85:L97)</f>
        <v/>
      </c>
      <c r="M98" s="33">
        <f>SUM(M85:M97)</f>
        <v/>
      </c>
      <c r="N98" s="2" t="n"/>
      <c r="O98" s="2" t="n"/>
      <c r="P98" s="2" t="n"/>
      <c r="Q98" s="2" t="n"/>
      <c r="R98" s="2" t="n"/>
      <c r="S98" s="2" t="n"/>
      <c r="T98" s="2" t="n"/>
      <c r="U98" s="2" t="n"/>
      <c r="V98" s="2" t="n"/>
      <c r="W98" s="2" t="n"/>
      <c r="X98" s="2" t="n"/>
    </row>
    <row r="99">
      <c r="A99" s="3" t="inlineStr">
        <is>
          <t xml:space="preserve">  Business profit (事業利益)</t>
        </is>
      </c>
      <c r="B99" s="2" t="n"/>
      <c r="C99" s="2" t="n"/>
      <c r="D99" s="2" t="n"/>
      <c r="E99" s="2" t="n"/>
      <c r="F99" s="34">
        <f>F84+F98</f>
        <v/>
      </c>
      <c r="G99" s="34">
        <f>G84+G98</f>
        <v/>
      </c>
      <c r="H99" s="34">
        <f>H84+H98</f>
        <v/>
      </c>
      <c r="I99" s="34">
        <f>I84+I98</f>
        <v/>
      </c>
      <c r="J99" s="34">
        <f>J84+J98</f>
        <v/>
      </c>
      <c r="K99" s="34">
        <f>K84+K98</f>
        <v/>
      </c>
      <c r="L99" s="34">
        <f>L84+L98</f>
        <v/>
      </c>
      <c r="M99" s="34">
        <f>M84+M98</f>
        <v/>
      </c>
      <c r="N99" s="2" t="n"/>
      <c r="O99" s="2" t="n"/>
      <c r="P99" s="2" t="n"/>
      <c r="Q99" s="2" t="n"/>
      <c r="R99" s="2" t="n"/>
      <c r="S99" s="2" t="n"/>
      <c r="T99" s="2" t="n"/>
      <c r="U99" s="2" t="n"/>
      <c r="V99" s="2" t="n"/>
      <c r="W99" s="2" t="n"/>
      <c r="X99" s="2" t="n"/>
    </row>
    <row r="100">
      <c r="A100" s="2" t="inlineStr">
        <is>
          <t xml:space="preserve">  → OP adjustment (other income / expense)</t>
        </is>
      </c>
      <c r="B100" s="2" t="n"/>
      <c r="C100" s="2" t="n"/>
      <c r="D100" s="2" t="n"/>
      <c r="E100" s="2" t="n"/>
      <c r="F100" s="8" t="n">
        <v>-17.5</v>
      </c>
      <c r="G100" s="8" t="n">
        <v>-17.5</v>
      </c>
      <c r="H100" s="8" t="n">
        <v>-17.5</v>
      </c>
      <c r="I100" s="8" t="n">
        <v>-17.5</v>
      </c>
      <c r="J100" s="8" t="n">
        <v>-17.5</v>
      </c>
      <c r="K100" s="8" t="n">
        <v>-17.5</v>
      </c>
      <c r="L100" s="8" t="n">
        <v>-17.5</v>
      </c>
      <c r="M100" s="8" t="n">
        <v>-17.5</v>
      </c>
      <c r="N100" s="2" t="n"/>
      <c r="O100" s="2" t="n"/>
      <c r="P100" s="2" t="n"/>
      <c r="Q100" s="2" t="n"/>
      <c r="R100" s="2" t="n"/>
      <c r="S100" s="2" t="n"/>
      <c r="T100" s="2" t="n"/>
      <c r="U100" s="2" t="n"/>
      <c r="V100" s="2" t="n"/>
      <c r="W100" s="2" t="n"/>
      <c r="X100" s="2" t="n"/>
    </row>
    <row r="101">
      <c r="A101" s="3" t="inlineStr">
        <is>
          <t xml:space="preserve">  Operating profit</t>
        </is>
      </c>
      <c r="B101" s="2" t="n"/>
      <c r="C101" s="2" t="n"/>
      <c r="D101" s="2" t="n"/>
      <c r="E101" s="2" t="n"/>
      <c r="F101" s="34">
        <f>F99+F100</f>
        <v/>
      </c>
      <c r="G101" s="34">
        <f>G99+G100</f>
        <v/>
      </c>
      <c r="H101" s="34">
        <f>H99+H100</f>
        <v/>
      </c>
      <c r="I101" s="34">
        <f>I99+I100</f>
        <v/>
      </c>
      <c r="J101" s="34">
        <f>J99+J100</f>
        <v/>
      </c>
      <c r="K101" s="34">
        <f>K99+K100</f>
        <v/>
      </c>
      <c r="L101" s="34">
        <f>L99+L100</f>
        <v/>
      </c>
      <c r="M101" s="34">
        <f>M99+M100</f>
        <v/>
      </c>
      <c r="N101" s="2" t="n"/>
      <c r="O101" s="2" t="n"/>
      <c r="P101" s="2" t="n"/>
      <c r="Q101" s="2" t="n"/>
      <c r="R101" s="2" t="n"/>
      <c r="S101" s="2" t="n"/>
      <c r="T101" s="2" t="n"/>
      <c r="U101" s="2" t="n"/>
      <c r="V101" s="2" t="n"/>
      <c r="W101" s="2" t="n"/>
      <c r="X101" s="2" t="n"/>
    </row>
    <row r="102">
      <c r="A102" s="2" t="inlineStr">
        <is>
          <t xml:space="preserve">  Sales (this case's growth path)</t>
        </is>
      </c>
      <c r="B102" s="2" t="n"/>
      <c r="C102" s="2" t="n"/>
      <c r="D102" s="2" t="n"/>
      <c r="E102" s="2" t="n"/>
      <c r="F102" s="7">
        <f>FS!I4*(1+F44/100)</f>
        <v/>
      </c>
      <c r="G102" s="33">
        <f>F102*(1+G44/100)</f>
        <v/>
      </c>
      <c r="H102" s="33">
        <f>G102*(1+H44/100)</f>
        <v/>
      </c>
      <c r="I102" s="33">
        <f>H102*(1+I44/100)</f>
        <v/>
      </c>
      <c r="J102" s="33">
        <f>I102*(1+J44/100)</f>
        <v/>
      </c>
      <c r="K102" s="33">
        <f>J102*(1+K44/100)</f>
        <v/>
      </c>
      <c r="L102" s="33">
        <f>K102*(1+L44/100)</f>
        <v/>
      </c>
      <c r="M102" s="33">
        <f>L102*(1+M44/100)</f>
        <v/>
      </c>
      <c r="N102" s="2" t="n"/>
      <c r="O102" s="2" t="n"/>
      <c r="P102" s="2" t="n"/>
      <c r="Q102" s="2" t="n"/>
      <c r="R102" s="2" t="n"/>
      <c r="S102" s="2" t="n"/>
      <c r="T102" s="2" t="n"/>
      <c r="U102" s="2" t="n"/>
      <c r="V102" s="2" t="n"/>
      <c r="W102" s="2" t="n"/>
      <c r="X102" s="2" t="n"/>
    </row>
    <row r="103">
      <c r="A103" s="3" t="inlineStr">
        <is>
          <t xml:space="preserve">  OPM (%)  → feeds the OPM row</t>
        </is>
      </c>
      <c r="B103" s="2" t="n"/>
      <c r="C103" s="2" t="n"/>
      <c r="D103" s="2" t="n"/>
      <c r="E103" s="2" t="n"/>
      <c r="F103" s="32">
        <f>F101/F102*100</f>
        <v/>
      </c>
      <c r="G103" s="32">
        <f>G101/G102*100</f>
        <v/>
      </c>
      <c r="H103" s="32">
        <f>H101/H102*100</f>
        <v/>
      </c>
      <c r="I103" s="32">
        <f>I101/I102*100</f>
        <v/>
      </c>
      <c r="J103" s="32">
        <f>J101/J102*100</f>
        <v/>
      </c>
      <c r="K103" s="32">
        <f>K101/K102*100</f>
        <v/>
      </c>
      <c r="L103" s="32">
        <f>L101/L102*100</f>
        <v/>
      </c>
      <c r="M103" s="32">
        <f>M101/M102*100</f>
        <v/>
      </c>
      <c r="N103" s="2" t="n"/>
      <c r="O103" s="2" t="n"/>
      <c r="P103" s="2" t="n"/>
      <c r="Q103" s="2" t="n"/>
      <c r="R103" s="2" t="n"/>
      <c r="S103" s="2" t="n"/>
      <c r="T103" s="2" t="n"/>
      <c r="U103" s="2" t="n"/>
      <c r="V103" s="2" t="n"/>
      <c r="W103" s="2" t="n"/>
      <c r="X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row>
    <row r="105">
      <c r="A105" s="6" t="inlineStr">
        <is>
          <t>3. Bear</t>
        </is>
      </c>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row>
    <row r="106">
      <c r="A106" s="2" t="inlineStr">
        <is>
          <t xml:space="preserve">  Business profit, same Q last year</t>
        </is>
      </c>
      <c r="B106" s="2" t="n"/>
      <c r="C106" s="2" t="n"/>
      <c r="D106" s="2" t="n"/>
      <c r="E106" s="2" t="n"/>
      <c r="F106" s="8" t="n">
        <v>202</v>
      </c>
      <c r="G106" s="8" t="n">
        <v>423</v>
      </c>
      <c r="H106" s="8" t="n">
        <v>168</v>
      </c>
      <c r="I106" s="8" t="n">
        <v>230</v>
      </c>
      <c r="J106" s="33">
        <f>F121</f>
        <v/>
      </c>
      <c r="K106" s="33">
        <f>G121</f>
        <v/>
      </c>
      <c r="L106" s="33">
        <f>H121</f>
        <v/>
      </c>
      <c r="M106" s="33">
        <f>I121</f>
        <v/>
      </c>
      <c r="N106" s="2" t="n"/>
      <c r="O106" s="2" t="n"/>
      <c r="P106" s="2" t="n"/>
      <c r="Q106" s="2" t="n"/>
      <c r="R106" s="2" t="n"/>
      <c r="S106" s="2" t="n"/>
      <c r="T106" s="2" t="n"/>
      <c r="U106" s="2" t="n"/>
      <c r="V106" s="2" t="n"/>
      <c r="W106" s="2" t="n"/>
      <c r="X106" s="2" t="n"/>
    </row>
    <row r="107">
      <c r="A107" s="2" t="inlineStr">
        <is>
          <t xml:space="preserve">    Raw materials (TSR20 / Dubai, lagged) x tonnes</t>
        </is>
      </c>
      <c r="B107" s="2" t="n"/>
      <c r="C107" s="2" t="n"/>
      <c r="D107" s="8" t="n">
        <v>100</v>
      </c>
      <c r="E107" s="8" t="n">
        <v>54</v>
      </c>
      <c r="F107" s="33">
        <f>-$B$128*F177*(F178-B178)+F$149</f>
        <v/>
      </c>
      <c r="G107" s="33">
        <f>-$B$128*G177*(G178-C178)+G$149</f>
        <v/>
      </c>
      <c r="H107" s="33">
        <f>-$B$128*H177*(H178-D178)-$B$129*H177*(H179-D179)</f>
        <v/>
      </c>
      <c r="I107" s="33">
        <f>-$B$128*I177*(I178-E178)-$B$129*I177*(I179-E179)</f>
        <v/>
      </c>
      <c r="J107" s="33">
        <f>-$B$128*J177*(J178-F178)-$B$129*J177*(J179-F179)</f>
        <v/>
      </c>
      <c r="K107" s="33">
        <f>-$B$128*K177*(K178-G178)-$B$129*K177*(K179-G179)</f>
        <v/>
      </c>
      <c r="L107" s="33">
        <f>-$B$128*L177*(L178-H178)-$B$129*L177*(L179-H179)</f>
        <v/>
      </c>
      <c r="M107" s="33">
        <f>-$B$128*M177*(M178-I178)-$B$129*M177*(M179-I179)</f>
        <v/>
      </c>
      <c r="N107" s="2" t="n"/>
      <c r="O107" s="2" t="n"/>
      <c r="P107" s="2" t="n"/>
      <c r="Q107" s="2" t="n"/>
      <c r="R107" s="2" t="n"/>
      <c r="S107" s="2" t="n"/>
      <c r="T107" s="2" t="n"/>
      <c r="U107" s="2" t="n"/>
      <c r="V107" s="2" t="n"/>
      <c r="W107" s="2" t="n"/>
      <c r="X107" s="2" t="n"/>
    </row>
    <row r="108">
      <c r="A108" s="2" t="inlineStr">
        <is>
          <t xml:space="preserve">    Price pass-through</t>
        </is>
      </c>
      <c r="B108" s="2" t="n"/>
      <c r="C108" s="2" t="n"/>
      <c r="D108" s="2" t="n"/>
      <c r="E108" s="2" t="n"/>
      <c r="F108" s="33">
        <f>F$140*D$30/100</f>
        <v/>
      </c>
      <c r="G108" s="33">
        <f>G$140*D$30/100</f>
        <v/>
      </c>
      <c r="H108" s="33">
        <f>-D$29*AVERAGE(D107:G107)</f>
        <v/>
      </c>
      <c r="I108" s="33">
        <f>-D$29*AVERAGE(E107:H107)</f>
        <v/>
      </c>
      <c r="J108" s="33">
        <f>-D$29*AVERAGE(F107:I107)</f>
        <v/>
      </c>
      <c r="K108" s="33">
        <f>-D$29*AVERAGE(G107:J107)</f>
        <v/>
      </c>
      <c r="L108" s="33">
        <f>-D$29*AVERAGE(H107:K107)</f>
        <v/>
      </c>
      <c r="M108" s="33">
        <f>-D$29*AVERAGE(I107:L107)</f>
        <v/>
      </c>
      <c r="N108" s="2" t="n"/>
      <c r="O108" s="2" t="n"/>
      <c r="P108" s="2" t="n"/>
      <c r="Q108" s="2" t="n"/>
      <c r="R108" s="2" t="n"/>
      <c r="S108" s="2" t="n"/>
      <c r="T108" s="2" t="n"/>
      <c r="U108" s="2" t="n"/>
      <c r="V108" s="2" t="n"/>
      <c r="W108" s="2" t="n"/>
      <c r="X108" s="2" t="n"/>
    </row>
    <row r="109">
      <c r="A109" s="2" t="inlineStr">
        <is>
          <t xml:space="preserve">    Volume - own brand</t>
        </is>
      </c>
      <c r="B109" s="2" t="n"/>
      <c r="C109" s="2" t="n"/>
      <c r="D109" s="2" t="n"/>
      <c r="E109" s="2" t="n"/>
      <c r="F109" s="33">
        <f>$B$130*(F180-B180)</f>
        <v/>
      </c>
      <c r="G109" s="33">
        <f>$B$130*(G180-C180)</f>
        <v/>
      </c>
      <c r="H109" s="33">
        <f>$B$130*(H180-D180)</f>
        <v/>
      </c>
      <c r="I109" s="33">
        <f>$B$130*(I180-E180)</f>
        <v/>
      </c>
      <c r="J109" s="33">
        <f>$B$130*(J180-F180)</f>
        <v/>
      </c>
      <c r="K109" s="33">
        <f>$B$130*(K180-G180)</f>
        <v/>
      </c>
      <c r="L109" s="33">
        <f>$B$130*(L180-H180)</f>
        <v/>
      </c>
      <c r="M109" s="33">
        <f>$B$130*(M180-I180)</f>
        <v/>
      </c>
      <c r="N109" s="2" t="n"/>
      <c r="O109" s="2" t="n"/>
      <c r="P109" s="2" t="n"/>
      <c r="Q109" s="2" t="n"/>
      <c r="R109" s="2" t="n"/>
      <c r="S109" s="2" t="n"/>
      <c r="T109" s="2" t="n"/>
      <c r="U109" s="2" t="n"/>
      <c r="V109" s="2" t="n"/>
      <c r="W109" s="2" t="n"/>
      <c r="X109" s="2" t="n"/>
    </row>
    <row r="110">
      <c r="A110" s="2" t="inlineStr">
        <is>
          <t xml:space="preserve">    Volume - Goodyear offtake</t>
        </is>
      </c>
      <c r="B110" s="2" t="n"/>
      <c r="C110" s="2" t="n"/>
      <c r="D110" s="2" t="n"/>
      <c r="E110" s="2" t="n"/>
      <c r="F110" s="33">
        <f>$B$131*(F181-B181)</f>
        <v/>
      </c>
      <c r="G110" s="33">
        <f>$B$131*(G181-C181)</f>
        <v/>
      </c>
      <c r="H110" s="33">
        <f>$B$131*(H181-D181)</f>
        <v/>
      </c>
      <c r="I110" s="33">
        <f>$B$131*(I181-E181)</f>
        <v/>
      </c>
      <c r="J110" s="33">
        <f>$B$131*(J181-F181)</f>
        <v/>
      </c>
      <c r="K110" s="33">
        <f>$B$131*(K181-G181)</f>
        <v/>
      </c>
      <c r="L110" s="33">
        <f>$B$131*(L181-H181)</f>
        <v/>
      </c>
      <c r="M110" s="33">
        <f>$B$131*(M181-I181)</f>
        <v/>
      </c>
      <c r="N110" s="2" t="n"/>
      <c r="O110" s="2" t="n"/>
      <c r="P110" s="2" t="n"/>
      <c r="Q110" s="2" t="n"/>
      <c r="R110" s="2" t="n"/>
      <c r="S110" s="2" t="n"/>
      <c r="T110" s="2" t="n"/>
      <c r="U110" s="2" t="n"/>
      <c r="V110" s="2" t="n"/>
      <c r="W110" s="2" t="n"/>
      <c r="X110" s="2" t="n"/>
    </row>
    <row r="111">
      <c r="A111" s="2" t="inlineStr">
        <is>
          <t xml:space="preserve">    Volume - SYNCHRO WEATHER</t>
        </is>
      </c>
      <c r="B111" s="2" t="n"/>
      <c r="C111" s="2" t="n"/>
      <c r="D111" s="2" t="n"/>
      <c r="E111" s="2" t="n"/>
      <c r="F111" s="33">
        <f>$B$132*(F182-B182)</f>
        <v/>
      </c>
      <c r="G111" s="33">
        <f>$B$132*(G182-C182)</f>
        <v/>
      </c>
      <c r="H111" s="33">
        <f>$B$132*(H182-D182)</f>
        <v/>
      </c>
      <c r="I111" s="33">
        <f>$B$132*(I182-E182)</f>
        <v/>
      </c>
      <c r="J111" s="33">
        <f>$B$132*(J182-F182)</f>
        <v/>
      </c>
      <c r="K111" s="33">
        <f>$B$132*(K182-G182)</f>
        <v/>
      </c>
      <c r="L111" s="33">
        <f>$B$132*(L182-H182)</f>
        <v/>
      </c>
      <c r="M111" s="33">
        <f>$B$132*(M182-I182)</f>
        <v/>
      </c>
      <c r="N111" s="2" t="n"/>
      <c r="O111" s="2" t="n"/>
      <c r="P111" s="2" t="n"/>
      <c r="Q111" s="2" t="n"/>
      <c r="R111" s="2" t="n"/>
      <c r="S111" s="2" t="n"/>
      <c r="T111" s="2" t="n"/>
      <c r="U111" s="2" t="n"/>
      <c r="V111" s="2" t="n"/>
      <c r="W111" s="2" t="n"/>
      <c r="X111" s="2" t="n"/>
    </row>
    <row r="112">
      <c r="A112" s="2" t="inlineStr">
        <is>
          <t xml:space="preserve">    Mix</t>
        </is>
      </c>
      <c r="B112" s="2" t="n"/>
      <c r="C112" s="2" t="n"/>
      <c r="D112" s="2" t="n"/>
      <c r="E112" s="2" t="n"/>
      <c r="F112" s="33">
        <f>F$141</f>
        <v/>
      </c>
      <c r="G112" s="33">
        <f>G$141</f>
        <v/>
      </c>
      <c r="H112" s="33">
        <f>D$36</f>
        <v/>
      </c>
      <c r="I112" s="33">
        <f>D$36</f>
        <v/>
      </c>
      <c r="J112" s="33">
        <f>D$36</f>
        <v/>
      </c>
      <c r="K112" s="33">
        <f>D$36</f>
        <v/>
      </c>
      <c r="L112" s="33">
        <f>D$36</f>
        <v/>
      </c>
      <c r="M112" s="33">
        <f>D$36</f>
        <v/>
      </c>
      <c r="N112" s="2" t="n"/>
      <c r="O112" s="2" t="n"/>
      <c r="P112" s="2" t="n"/>
      <c r="Q112" s="2" t="n"/>
      <c r="R112" s="2" t="n"/>
      <c r="S112" s="2" t="n"/>
      <c r="T112" s="2" t="n"/>
      <c r="U112" s="2" t="n"/>
      <c r="V112" s="2" t="n"/>
      <c r="W112" s="2" t="n"/>
      <c r="X112" s="2" t="n"/>
    </row>
    <row r="113">
      <c r="A113" s="2" t="inlineStr">
        <is>
          <t xml:space="preserve">    Unrealized profit</t>
        </is>
      </c>
      <c r="B113" s="2" t="n"/>
      <c r="C113" s="2" t="n"/>
      <c r="D113" s="2" t="n"/>
      <c r="E113" s="2" t="n"/>
      <c r="F113" s="33">
        <f>F$142</f>
        <v/>
      </c>
      <c r="G113" s="33">
        <f>G$142</f>
        <v/>
      </c>
      <c r="H113" s="33">
        <f>$B$153/4</f>
        <v/>
      </c>
      <c r="I113" s="33">
        <f>$B$153/4</f>
        <v/>
      </c>
      <c r="J113" s="33">
        <f>$B$153/4</f>
        <v/>
      </c>
      <c r="K113" s="33">
        <f>$B$153/4</f>
        <v/>
      </c>
      <c r="L113" s="33">
        <f>$C$153/4</f>
        <v/>
      </c>
      <c r="M113" s="33">
        <f>$C$153/4</f>
        <v/>
      </c>
      <c r="N113" s="2" t="n"/>
      <c r="O113" s="2" t="n"/>
      <c r="P113" s="2" t="n"/>
      <c r="Q113" s="2" t="n"/>
      <c r="R113" s="2" t="n"/>
      <c r="S113" s="2" t="n"/>
      <c r="T113" s="2" t="n"/>
      <c r="U113" s="2" t="n"/>
      <c r="V113" s="2" t="n"/>
      <c r="W113" s="2" t="n"/>
      <c r="X113" s="2" t="n"/>
    </row>
    <row r="114">
      <c r="A114" s="2" t="inlineStr">
        <is>
          <t xml:space="preserve">    Tariffs (AD / US / IEEPA refund)</t>
        </is>
      </c>
      <c r="B114" s="2" t="n"/>
      <c r="C114" s="2" t="n"/>
      <c r="D114" s="2" t="n"/>
      <c r="E114" s="2" t="n"/>
      <c r="F114" s="33">
        <f>F$143</f>
        <v/>
      </c>
      <c r="G114" s="33">
        <f>G$143</f>
        <v/>
      </c>
      <c r="H114" s="33">
        <f>$B$154/4</f>
        <v/>
      </c>
      <c r="I114" s="33">
        <f>$B$154/4</f>
        <v/>
      </c>
      <c r="J114" s="33">
        <f>$B$154/4</f>
        <v/>
      </c>
      <c r="K114" s="33">
        <f>$B$154/4</f>
        <v/>
      </c>
      <c r="L114" s="33">
        <f>$C$154/4</f>
        <v/>
      </c>
      <c r="M114" s="33">
        <f>$C$154/4</f>
        <v/>
      </c>
      <c r="N114" s="2" t="n"/>
      <c r="O114" s="2" t="n"/>
      <c r="P114" s="2" t="n"/>
      <c r="Q114" s="2" t="n"/>
      <c r="R114" s="2" t="n"/>
      <c r="S114" s="2" t="n"/>
      <c r="T114" s="2" t="n"/>
      <c r="U114" s="2" t="n"/>
      <c r="V114" s="2" t="n"/>
      <c r="W114" s="2" t="n"/>
      <c r="X114" s="2" t="n"/>
    </row>
    <row r="115">
      <c r="A115" s="2" t="inlineStr">
        <is>
          <t xml:space="preserve">    Freight</t>
        </is>
      </c>
      <c r="B115" s="2" t="n"/>
      <c r="C115" s="2" t="n"/>
      <c r="D115" s="2" t="n"/>
      <c r="E115" s="2" t="n"/>
      <c r="F115" s="33">
        <f>F$144</f>
        <v/>
      </c>
      <c r="G115" s="33">
        <f>G$144</f>
        <v/>
      </c>
      <c r="H115" s="33">
        <f>$B$155/4</f>
        <v/>
      </c>
      <c r="I115" s="33">
        <f>$B$155/4</f>
        <v/>
      </c>
      <c r="J115" s="33">
        <f>$B$155/4</f>
        <v/>
      </c>
      <c r="K115" s="33">
        <f>$B$155/4</f>
        <v/>
      </c>
      <c r="L115" s="33">
        <f>$C$155/4</f>
        <v/>
      </c>
      <c r="M115" s="33">
        <f>$C$155/4</f>
        <v/>
      </c>
      <c r="N115" s="2" t="n"/>
      <c r="O115" s="2" t="n"/>
      <c r="P115" s="2" t="n"/>
      <c r="Q115" s="2" t="n"/>
      <c r="R115" s="2" t="n"/>
      <c r="S115" s="2" t="n"/>
      <c r="T115" s="2" t="n"/>
      <c r="U115" s="2" t="n"/>
      <c r="V115" s="2" t="n"/>
      <c r="W115" s="2" t="n"/>
      <c r="X115" s="2" t="n"/>
    </row>
    <row r="116">
      <c r="A116" s="2" t="inlineStr">
        <is>
          <t xml:space="preserve">    Direct + fixed cost (Project ARK)</t>
        </is>
      </c>
      <c r="B116" s="2" t="n"/>
      <c r="C116" s="2" t="n"/>
      <c r="D116" s="2" t="n"/>
      <c r="E116" s="2" t="n"/>
      <c r="F116" s="33">
        <f>F$145</f>
        <v/>
      </c>
      <c r="G116" s="33">
        <f>G$145</f>
        <v/>
      </c>
      <c r="H116" s="33">
        <f>$B$156/4</f>
        <v/>
      </c>
      <c r="I116" s="33">
        <f>$B$156/4</f>
        <v/>
      </c>
      <c r="J116" s="33">
        <f>$B$156/4</f>
        <v/>
      </c>
      <c r="K116" s="33">
        <f>$B$156/4</f>
        <v/>
      </c>
      <c r="L116" s="33">
        <f>$C$156/4</f>
        <v/>
      </c>
      <c r="M116" s="33">
        <f>$C$156/4</f>
        <v/>
      </c>
      <c r="N116" s="2" t="n"/>
      <c r="O116" s="2" t="n"/>
      <c r="P116" s="2" t="n"/>
      <c r="Q116" s="2" t="n"/>
      <c r="R116" s="2" t="n"/>
      <c r="S116" s="2" t="n"/>
      <c r="T116" s="2" t="n"/>
      <c r="U116" s="2" t="n"/>
      <c r="V116" s="2" t="n"/>
      <c r="W116" s="2" t="n"/>
      <c r="X116" s="2" t="n"/>
    </row>
    <row r="117">
      <c r="A117" s="2" t="inlineStr">
        <is>
          <t xml:space="preserve">    FX</t>
        </is>
      </c>
      <c r="B117" s="2" t="n"/>
      <c r="C117" s="2" t="n"/>
      <c r="D117" s="2" t="n"/>
      <c r="E117" s="2" t="n"/>
      <c r="F117" s="33">
        <f>F$146</f>
        <v/>
      </c>
      <c r="G117" s="33">
        <f>G$146</f>
        <v/>
      </c>
      <c r="H117" s="8" t="n">
        <v>0</v>
      </c>
      <c r="I117" s="8" t="n">
        <v>0</v>
      </c>
      <c r="J117" s="8" t="n">
        <v>0</v>
      </c>
      <c r="K117" s="8" t="n">
        <v>0</v>
      </c>
      <c r="L117" s="8" t="n">
        <v>0</v>
      </c>
      <c r="M117" s="8" t="n">
        <v>0</v>
      </c>
      <c r="N117" s="2" t="n"/>
      <c r="O117" s="2" t="n"/>
      <c r="P117" s="2" t="n"/>
      <c r="Q117" s="2" t="n"/>
      <c r="R117" s="2" t="n"/>
      <c r="S117" s="2" t="n"/>
      <c r="T117" s="2" t="n"/>
      <c r="U117" s="2" t="n"/>
      <c r="V117" s="2" t="n"/>
      <c r="W117" s="2" t="n"/>
      <c r="X117" s="2" t="n"/>
    </row>
    <row r="118">
      <c r="A118" s="2" t="inlineStr">
        <is>
          <t xml:space="preserve">    Expenses</t>
        </is>
      </c>
      <c r="B118" s="2" t="n"/>
      <c r="C118" s="2" t="n"/>
      <c r="D118" s="2" t="n"/>
      <c r="E118" s="2" t="n"/>
      <c r="F118" s="33">
        <f>F$147</f>
        <v/>
      </c>
      <c r="G118" s="33">
        <f>G$147</f>
        <v/>
      </c>
      <c r="H118" s="33">
        <f>$B$157/4</f>
        <v/>
      </c>
      <c r="I118" s="33">
        <f>$B$157/4</f>
        <v/>
      </c>
      <c r="J118" s="33">
        <f>$B$157/4</f>
        <v/>
      </c>
      <c r="K118" s="33">
        <f>$B$157/4</f>
        <v/>
      </c>
      <c r="L118" s="33">
        <f>$C$157/4</f>
        <v/>
      </c>
      <c r="M118" s="33">
        <f>$C$157/4</f>
        <v/>
      </c>
      <c r="N118" s="2" t="n"/>
      <c r="O118" s="2" t="n"/>
      <c r="P118" s="2" t="n"/>
      <c r="Q118" s="2" t="n"/>
      <c r="R118" s="2" t="n"/>
      <c r="S118" s="2" t="n"/>
      <c r="T118" s="2" t="n"/>
      <c r="U118" s="2" t="n"/>
      <c r="V118" s="2" t="n"/>
      <c r="W118" s="2" t="n"/>
      <c r="X118" s="2" t="n"/>
    </row>
    <row r="119">
      <c r="A119" s="2" t="inlineStr">
        <is>
          <t xml:space="preserve">    Sports + industrial</t>
        </is>
      </c>
      <c r="B119" s="2" t="n"/>
      <c r="C119" s="2" t="n"/>
      <c r="D119" s="2" t="n"/>
      <c r="E119" s="2" t="n"/>
      <c r="F119" s="33">
        <f>F$148</f>
        <v/>
      </c>
      <c r="G119" s="33">
        <f>G$148</f>
        <v/>
      </c>
      <c r="H119" s="33">
        <f>$B$158/4</f>
        <v/>
      </c>
      <c r="I119" s="33">
        <f>$B$158/4</f>
        <v/>
      </c>
      <c r="J119" s="33">
        <f>$B$158/4</f>
        <v/>
      </c>
      <c r="K119" s="33">
        <f>$B$158/4</f>
        <v/>
      </c>
      <c r="L119" s="33">
        <f>$C$158/4</f>
        <v/>
      </c>
      <c r="M119" s="33">
        <f>$C$158/4</f>
        <v/>
      </c>
      <c r="N119" s="2" t="n"/>
      <c r="O119" s="2" t="n"/>
      <c r="P119" s="2" t="n"/>
      <c r="Q119" s="2" t="n"/>
      <c r="R119" s="2" t="n"/>
      <c r="S119" s="2" t="n"/>
      <c r="T119" s="2" t="n"/>
      <c r="U119" s="2" t="n"/>
      <c r="V119" s="2" t="n"/>
      <c r="W119" s="2" t="n"/>
      <c r="X119" s="2" t="n"/>
    </row>
    <row r="120">
      <c r="A120" s="2" t="inlineStr">
        <is>
          <t xml:space="preserve">  Σ YoY change</t>
        </is>
      </c>
      <c r="B120" s="2" t="n"/>
      <c r="C120" s="2" t="n"/>
      <c r="D120" s="2" t="n"/>
      <c r="E120" s="2" t="n"/>
      <c r="F120" s="33">
        <f>SUM(F107:F119)</f>
        <v/>
      </c>
      <c r="G120" s="33">
        <f>SUM(G107:G119)</f>
        <v/>
      </c>
      <c r="H120" s="33">
        <f>SUM(H107:H119)</f>
        <v/>
      </c>
      <c r="I120" s="33">
        <f>SUM(I107:I119)</f>
        <v/>
      </c>
      <c r="J120" s="33">
        <f>SUM(J107:J119)</f>
        <v/>
      </c>
      <c r="K120" s="33">
        <f>SUM(K107:K119)</f>
        <v/>
      </c>
      <c r="L120" s="33">
        <f>SUM(L107:L119)</f>
        <v/>
      </c>
      <c r="M120" s="33">
        <f>SUM(M107:M119)</f>
        <v/>
      </c>
      <c r="N120" s="2" t="n"/>
      <c r="O120" s="2" t="n"/>
      <c r="P120" s="2" t="n"/>
      <c r="Q120" s="2" t="n"/>
      <c r="R120" s="2" t="n"/>
      <c r="S120" s="2" t="n"/>
      <c r="T120" s="2" t="n"/>
      <c r="U120" s="2" t="n"/>
      <c r="V120" s="2" t="n"/>
      <c r="W120" s="2" t="n"/>
      <c r="X120" s="2" t="n"/>
    </row>
    <row r="121">
      <c r="A121" s="3" t="inlineStr">
        <is>
          <t xml:space="preserve">  Business profit (事業利益)</t>
        </is>
      </c>
      <c r="B121" s="2" t="n"/>
      <c r="C121" s="2" t="n"/>
      <c r="D121" s="2" t="n"/>
      <c r="E121" s="2" t="n"/>
      <c r="F121" s="34">
        <f>F106+F120</f>
        <v/>
      </c>
      <c r="G121" s="34">
        <f>G106+G120</f>
        <v/>
      </c>
      <c r="H121" s="34">
        <f>H106+H120</f>
        <v/>
      </c>
      <c r="I121" s="34">
        <f>I106+I120</f>
        <v/>
      </c>
      <c r="J121" s="34">
        <f>J106+J120</f>
        <v/>
      </c>
      <c r="K121" s="34">
        <f>K106+K120</f>
        <v/>
      </c>
      <c r="L121" s="34">
        <f>L106+L120</f>
        <v/>
      </c>
      <c r="M121" s="34">
        <f>M106+M120</f>
        <v/>
      </c>
      <c r="N121" s="2" t="n"/>
      <c r="O121" s="2" t="n"/>
      <c r="P121" s="2" t="n"/>
      <c r="Q121" s="2" t="n"/>
      <c r="R121" s="2" t="n"/>
      <c r="S121" s="2" t="n"/>
      <c r="T121" s="2" t="n"/>
      <c r="U121" s="2" t="n"/>
      <c r="V121" s="2" t="n"/>
      <c r="W121" s="2" t="n"/>
      <c r="X121" s="2" t="n"/>
    </row>
    <row r="122">
      <c r="A122" s="2" t="inlineStr">
        <is>
          <t xml:space="preserve">  → OP adjustment (other income / expense)</t>
        </is>
      </c>
      <c r="B122" s="2" t="n"/>
      <c r="C122" s="2" t="n"/>
      <c r="D122" s="2" t="n"/>
      <c r="E122" s="2" t="n"/>
      <c r="F122" s="8" t="n">
        <v>-17.5</v>
      </c>
      <c r="G122" s="8" t="n">
        <v>-17.5</v>
      </c>
      <c r="H122" s="8" t="n">
        <v>-17.5</v>
      </c>
      <c r="I122" s="8" t="n">
        <v>-17.5</v>
      </c>
      <c r="J122" s="8" t="n">
        <v>-17.5</v>
      </c>
      <c r="K122" s="8" t="n">
        <v>-17.5</v>
      </c>
      <c r="L122" s="8" t="n">
        <v>-17.5</v>
      </c>
      <c r="M122" s="8" t="n">
        <v>-17.5</v>
      </c>
      <c r="N122" s="2" t="n"/>
      <c r="O122" s="2" t="n"/>
      <c r="P122" s="2" t="n"/>
      <c r="Q122" s="2" t="n"/>
      <c r="R122" s="2" t="n"/>
      <c r="S122" s="2" t="n"/>
      <c r="T122" s="2" t="n"/>
      <c r="U122" s="2" t="n"/>
      <c r="V122" s="2" t="n"/>
      <c r="W122" s="2" t="n"/>
      <c r="X122" s="2" t="n"/>
    </row>
    <row r="123">
      <c r="A123" s="3" t="inlineStr">
        <is>
          <t xml:space="preserve">  Operating profit</t>
        </is>
      </c>
      <c r="B123" s="2" t="n"/>
      <c r="C123" s="2" t="n"/>
      <c r="D123" s="2" t="n"/>
      <c r="E123" s="2" t="n"/>
      <c r="F123" s="34">
        <f>F121+F122</f>
        <v/>
      </c>
      <c r="G123" s="34">
        <f>G121+G122</f>
        <v/>
      </c>
      <c r="H123" s="34">
        <f>H121+H122</f>
        <v/>
      </c>
      <c r="I123" s="34">
        <f>I121+I122</f>
        <v/>
      </c>
      <c r="J123" s="34">
        <f>J121+J122</f>
        <v/>
      </c>
      <c r="K123" s="34">
        <f>K121+K122</f>
        <v/>
      </c>
      <c r="L123" s="34">
        <f>L121+L122</f>
        <v/>
      </c>
      <c r="M123" s="34">
        <f>M121+M122</f>
        <v/>
      </c>
      <c r="N123" s="2" t="n"/>
      <c r="O123" s="2" t="n"/>
      <c r="P123" s="2" t="n"/>
      <c r="Q123" s="2" t="n"/>
      <c r="R123" s="2" t="n"/>
      <c r="S123" s="2" t="n"/>
      <c r="T123" s="2" t="n"/>
      <c r="U123" s="2" t="n"/>
      <c r="V123" s="2" t="n"/>
      <c r="W123" s="2" t="n"/>
      <c r="X123" s="2" t="n"/>
    </row>
    <row r="124">
      <c r="A124" s="2" t="inlineStr">
        <is>
          <t xml:space="preserve">  Sales (this case's growth path)</t>
        </is>
      </c>
      <c r="B124" s="2" t="n"/>
      <c r="C124" s="2" t="n"/>
      <c r="D124" s="2" t="n"/>
      <c r="E124" s="2" t="n"/>
      <c r="F124" s="7">
        <f>FS!I4*(1+F45/100)</f>
        <v/>
      </c>
      <c r="G124" s="33">
        <f>F124*(1+G45/100)</f>
        <v/>
      </c>
      <c r="H124" s="33">
        <f>G124*(1+H45/100)</f>
        <v/>
      </c>
      <c r="I124" s="33">
        <f>H124*(1+I45/100)</f>
        <v/>
      </c>
      <c r="J124" s="33">
        <f>I124*(1+J45/100)</f>
        <v/>
      </c>
      <c r="K124" s="33">
        <f>J124*(1+K45/100)</f>
        <v/>
      </c>
      <c r="L124" s="33">
        <f>K124*(1+L45/100)</f>
        <v/>
      </c>
      <c r="M124" s="33">
        <f>L124*(1+M45/100)</f>
        <v/>
      </c>
      <c r="N124" s="2" t="n"/>
      <c r="O124" s="2" t="n"/>
      <c r="P124" s="2" t="n"/>
      <c r="Q124" s="2" t="n"/>
      <c r="R124" s="2" t="n"/>
      <c r="S124" s="2" t="n"/>
      <c r="T124" s="2" t="n"/>
      <c r="U124" s="2" t="n"/>
      <c r="V124" s="2" t="n"/>
      <c r="W124" s="2" t="n"/>
      <c r="X124" s="2" t="n"/>
    </row>
    <row r="125">
      <c r="A125" s="3" t="inlineStr">
        <is>
          <t xml:space="preserve">  OPM (%)  → feeds the OPM row</t>
        </is>
      </c>
      <c r="B125" s="2" t="n"/>
      <c r="C125" s="2" t="n"/>
      <c r="D125" s="2" t="n"/>
      <c r="E125" s="2" t="n"/>
      <c r="F125" s="32">
        <f>F123/F124*100</f>
        <v/>
      </c>
      <c r="G125" s="32">
        <f>G123/G124*100</f>
        <v/>
      </c>
      <c r="H125" s="32">
        <f>H123/H124*100</f>
        <v/>
      </c>
      <c r="I125" s="32">
        <f>I123/I124*100</f>
        <v/>
      </c>
      <c r="J125" s="32">
        <f>J123/J124*100</f>
        <v/>
      </c>
      <c r="K125" s="32">
        <f>K123/K124*100</f>
        <v/>
      </c>
      <c r="L125" s="32">
        <f>L123/L124*100</f>
        <v/>
      </c>
      <c r="M125" s="32">
        <f>M123/M124*100</f>
        <v/>
      </c>
      <c r="N125" s="2" t="n"/>
      <c r="O125" s="2" t="n"/>
      <c r="P125" s="2" t="n"/>
      <c r="Q125" s="2" t="n"/>
      <c r="R125" s="2" t="n"/>
      <c r="S125" s="2" t="n"/>
      <c r="T125" s="2" t="n"/>
      <c r="U125" s="2" t="n"/>
      <c r="V125" s="2" t="n"/>
      <c r="W125" s="2" t="n"/>
      <c r="X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row>
    <row r="127">
      <c r="A127" s="3" t="inlineStr">
        <is>
          <t>Driver inputs — volume × raw materials (the bridge rows above are formulas on these)</t>
        </is>
      </c>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row>
    <row r="128">
      <c r="A128" s="2" t="inlineStr">
        <is>
          <t xml:space="preserve">  Sensitivity: natural rubber (JPY100m per 10k t × $1/kg)</t>
        </is>
      </c>
      <c r="B128" s="35" t="n">
        <v>7.3394</v>
      </c>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row>
    <row r="129">
      <c r="A129" s="2" t="inlineStr">
        <is>
          <t xml:space="preserve">  Sensitivity: petroleum (JPY100m per 10k t × $1/bbl)</t>
        </is>
      </c>
      <c r="B129" s="35" t="n">
        <v>0.26606</v>
      </c>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row>
    <row r="130">
      <c r="A130" s="2" t="inlineStr">
        <is>
          <t xml:space="preserve">  Unit profit: own brand (JPY100m / 10k units)</t>
        </is>
      </c>
      <c r="B130" s="36" t="n">
        <v>0.46</v>
      </c>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row>
    <row r="131">
      <c r="A131" s="2" t="inlineStr">
        <is>
          <t xml:space="preserve">  Unit profit: Goodyear offtake (~half of own)</t>
        </is>
      </c>
      <c r="B131" s="36" t="n">
        <v>0.2</v>
      </c>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row>
    <row r="132">
      <c r="A132" s="2" t="inlineStr">
        <is>
          <t xml:space="preserve">  Unit profit: SYNCHRO WEATHER - placeholder</t>
        </is>
      </c>
      <c r="B132" s="36" t="n">
        <v>0.9</v>
      </c>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row>
    <row r="133">
      <c r="A133" s="2" t="inlineStr">
        <is>
          <t xml:space="preserve">  TSR20 SGX forward curve ($/kg)</t>
        </is>
      </c>
      <c r="B133" s="36" t="n">
        <v>2.4225</v>
      </c>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row>
    <row r="134">
      <c r="A134" s="2" t="inlineStr">
        <is>
          <t xml:space="preserve">  Offtake plan per Q, FY26 (10k units)</t>
        </is>
      </c>
      <c r="B134" s="37" t="n">
        <v>70</v>
      </c>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row>
    <row r="135">
      <c r="A135" s="2" t="inlineStr">
        <is>
          <t xml:space="preserve">  SW share of the year in H1</t>
        </is>
      </c>
      <c r="B135" s="36" t="n">
        <v>0.4</v>
      </c>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row>
    <row r="136">
      <c r="A136" s="2" t="inlineStr">
        <is>
          <t xml:space="preserve">  SW FY28 growth (x)</t>
        </is>
      </c>
      <c r="B136" s="36" t="n">
        <v>1.15</v>
      </c>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row>
    <row r="138">
      <c r="A138" s="2" t="inlineStr">
        <is>
          <t xml:space="preserve">  El Nino shape (TSR uplift at multiple 1.0)</t>
        </is>
      </c>
      <c r="B138" s="2" t="n"/>
      <c r="C138" s="2" t="n"/>
      <c r="D138" s="2" t="n"/>
      <c r="E138" s="2" t="n"/>
      <c r="F138" s="2" t="n"/>
      <c r="G138" s="2" t="n"/>
      <c r="H138" s="38" t="n">
        <v>0.01933</v>
      </c>
      <c r="I138" s="38" t="n">
        <v>0.04833</v>
      </c>
      <c r="J138" s="38" t="n">
        <v>0.08933000000000001</v>
      </c>
      <c r="K138" s="38" t="n">
        <v>0.13633</v>
      </c>
      <c r="L138" s="38" t="n">
        <v>0.152</v>
      </c>
      <c r="M138" s="38" t="n">
        <v>0.152</v>
      </c>
      <c r="N138" s="2" t="n"/>
      <c r="O138" s="2" t="n"/>
      <c r="P138" s="2" t="n"/>
      <c r="Q138" s="2" t="n"/>
      <c r="R138" s="2" t="n"/>
      <c r="S138" s="2" t="n"/>
      <c r="T138" s="2" t="n"/>
      <c r="U138" s="2" t="n"/>
      <c r="V138" s="2" t="n"/>
      <c r="W138" s="2" t="n"/>
      <c r="X138" s="2" t="n"/>
    </row>
    <row r="139">
      <c r="A139" s="2" t="inlineStr">
        <is>
          <t xml:space="preserve">  SW seasonality (share of year)</t>
        </is>
      </c>
      <c r="B139" s="2" t="n"/>
      <c r="C139" s="2" t="n"/>
      <c r="D139" s="2" t="n"/>
      <c r="E139" s="2" t="n"/>
      <c r="F139" s="39">
        <f>(1-$B$135)/2</f>
        <v/>
      </c>
      <c r="G139" s="39">
        <f>(1-$B$135)/2</f>
        <v/>
      </c>
      <c r="H139" s="39">
        <f>$B$135/2</f>
        <v/>
      </c>
      <c r="I139" s="39">
        <f>$B$135/2</f>
        <v/>
      </c>
      <c r="J139" s="39">
        <f>(1-$B$135)/2</f>
        <v/>
      </c>
      <c r="K139" s="39">
        <f>(1-$B$135)/2</f>
        <v/>
      </c>
      <c r="L139" s="39">
        <f>$B$135/2</f>
        <v/>
      </c>
      <c r="M139" s="39">
        <f>$B$135/2</f>
        <v/>
      </c>
      <c r="N139" s="2" t="n"/>
      <c r="O139" s="2" t="n"/>
      <c r="P139" s="2" t="n"/>
      <c r="Q139" s="2" t="n"/>
      <c r="R139" s="2" t="n"/>
      <c r="S139" s="2" t="n"/>
      <c r="T139" s="2" t="n"/>
      <c r="U139" s="2" t="n"/>
      <c r="V139" s="2" t="n"/>
      <c r="W139" s="2" t="n"/>
      <c r="X139" s="2" t="n"/>
    </row>
    <row r="140">
      <c r="A140" s="2" t="inlineStr">
        <is>
          <t xml:space="preserve">  Company H2 plan: Price</t>
        </is>
      </c>
      <c r="B140" s="2" t="n"/>
      <c r="C140" s="2" t="n"/>
      <c r="D140" s="2" t="n"/>
      <c r="E140" s="2" t="n"/>
      <c r="F140" s="8" t="n">
        <v>21</v>
      </c>
      <c r="G140" s="8" t="n">
        <v>21</v>
      </c>
      <c r="H140" s="2" t="n"/>
      <c r="I140" s="2" t="n"/>
      <c r="J140" s="2" t="n"/>
      <c r="K140" s="2" t="n"/>
      <c r="L140" s="2" t="n"/>
      <c r="M140" s="2" t="n"/>
      <c r="N140" s="2" t="n"/>
      <c r="O140" s="2" t="n"/>
      <c r="P140" s="2" t="n"/>
      <c r="Q140" s="2" t="n"/>
      <c r="R140" s="2" t="n"/>
      <c r="S140" s="2" t="n"/>
      <c r="T140" s="2" t="n"/>
      <c r="U140" s="2" t="n"/>
      <c r="V140" s="2" t="n"/>
      <c r="W140" s="2" t="n"/>
      <c r="X140" s="2" t="n"/>
    </row>
    <row r="141">
      <c r="A141" s="2" t="inlineStr">
        <is>
          <t xml:space="preserve">  Company H2 plan: Mix</t>
        </is>
      </c>
      <c r="B141" s="2" t="n"/>
      <c r="C141" s="2" t="n"/>
      <c r="D141" s="2" t="n"/>
      <c r="E141" s="2" t="n"/>
      <c r="F141" s="8" t="n">
        <v>14.74</v>
      </c>
      <c r="G141" s="8" t="n">
        <v>58.44</v>
      </c>
      <c r="H141" s="2" t="n"/>
      <c r="I141" s="2" t="n"/>
      <c r="J141" s="2" t="n"/>
      <c r="K141" s="2" t="n"/>
      <c r="L141" s="2" t="n"/>
      <c r="M141" s="2" t="n"/>
      <c r="N141" s="2" t="n"/>
      <c r="O141" s="2" t="n"/>
      <c r="P141" s="2" t="n"/>
      <c r="Q141" s="2" t="n"/>
      <c r="R141" s="2" t="n"/>
      <c r="S141" s="2" t="n"/>
      <c r="T141" s="2" t="n"/>
      <c r="U141" s="2" t="n"/>
      <c r="V141" s="2" t="n"/>
      <c r="W141" s="2" t="n"/>
      <c r="X141" s="2" t="n"/>
    </row>
    <row r="142">
      <c r="A142" s="2" t="inlineStr">
        <is>
          <t xml:space="preserve">  Company H2 plan: Unrealized profit</t>
        </is>
      </c>
      <c r="B142" s="2" t="n"/>
      <c r="C142" s="2" t="n"/>
      <c r="D142" s="2" t="n"/>
      <c r="E142" s="2" t="n"/>
      <c r="F142" s="8" t="n">
        <v>9.5</v>
      </c>
      <c r="G142" s="8" t="n">
        <v>9.5</v>
      </c>
      <c r="H142" s="2" t="n"/>
      <c r="I142" s="2" t="n"/>
      <c r="J142" s="2" t="n"/>
      <c r="K142" s="2" t="n"/>
      <c r="L142" s="2" t="n"/>
      <c r="M142" s="2" t="n"/>
      <c r="N142" s="2" t="n"/>
      <c r="O142" s="2" t="n"/>
      <c r="P142" s="2" t="n"/>
      <c r="Q142" s="2" t="n"/>
      <c r="R142" s="2" t="n"/>
      <c r="S142" s="2" t="n"/>
      <c r="T142" s="2" t="n"/>
      <c r="U142" s="2" t="n"/>
      <c r="V142" s="2" t="n"/>
      <c r="W142" s="2" t="n"/>
      <c r="X142" s="2" t="n"/>
    </row>
    <row r="143">
      <c r="A143" s="2" t="inlineStr">
        <is>
          <t xml:space="preserve">  Company H2 plan: Tariffs</t>
        </is>
      </c>
      <c r="B143" s="2" t="n"/>
      <c r="C143" s="2" t="n"/>
      <c r="D143" s="2" t="n"/>
      <c r="E143" s="2" t="n"/>
      <c r="F143" s="8" t="n">
        <v>-24.5</v>
      </c>
      <c r="G143" s="8" t="n">
        <v>-24.5</v>
      </c>
      <c r="H143" s="2" t="n"/>
      <c r="I143" s="2" t="n"/>
      <c r="J143" s="2" t="n"/>
      <c r="K143" s="2" t="n"/>
      <c r="L143" s="2" t="n"/>
      <c r="M143" s="2" t="n"/>
      <c r="N143" s="2" t="n"/>
      <c r="O143" s="2" t="n"/>
      <c r="P143" s="2" t="n"/>
      <c r="Q143" s="2" t="n"/>
      <c r="R143" s="2" t="n"/>
      <c r="S143" s="2" t="n"/>
      <c r="T143" s="2" t="n"/>
      <c r="U143" s="2" t="n"/>
      <c r="V143" s="2" t="n"/>
      <c r="W143" s="2" t="n"/>
      <c r="X143" s="2" t="n"/>
    </row>
    <row r="144">
      <c r="A144" s="2" t="inlineStr">
        <is>
          <t xml:space="preserve">  Company H2 plan: Freight</t>
        </is>
      </c>
      <c r="B144" s="2" t="n"/>
      <c r="C144" s="2" t="n"/>
      <c r="D144" s="2" t="n"/>
      <c r="E144" s="2" t="n"/>
      <c r="F144" s="8" t="n">
        <v>-13</v>
      </c>
      <c r="G144" s="8" t="n">
        <v>-13</v>
      </c>
      <c r="H144" s="2" t="n"/>
      <c r="I144" s="2" t="n"/>
      <c r="J144" s="2" t="n"/>
      <c r="K144" s="2" t="n"/>
      <c r="L144" s="2" t="n"/>
      <c r="M144" s="2" t="n"/>
      <c r="N144" s="2" t="n"/>
      <c r="O144" s="2" t="n"/>
      <c r="P144" s="2" t="n"/>
      <c r="Q144" s="2" t="n"/>
      <c r="R144" s="2" t="n"/>
      <c r="S144" s="2" t="n"/>
      <c r="T144" s="2" t="n"/>
      <c r="U144" s="2" t="n"/>
      <c r="V144" s="2" t="n"/>
      <c r="W144" s="2" t="n"/>
      <c r="X144" s="2" t="n"/>
    </row>
    <row r="145">
      <c r="A145" s="2" t="inlineStr">
        <is>
          <t xml:space="preserve">  Company H2 plan: Direct + fixed cost</t>
        </is>
      </c>
      <c r="B145" s="2" t="n"/>
      <c r="C145" s="2" t="n"/>
      <c r="D145" s="2" t="n"/>
      <c r="E145" s="2" t="n"/>
      <c r="F145" s="8" t="n">
        <v>-11.5</v>
      </c>
      <c r="G145" s="8" t="n">
        <v>-11.5</v>
      </c>
      <c r="H145" s="2" t="n"/>
      <c r="I145" s="2" t="n"/>
      <c r="J145" s="2" t="n"/>
      <c r="K145" s="2" t="n"/>
      <c r="L145" s="2" t="n"/>
      <c r="M145" s="2" t="n"/>
      <c r="N145" s="2" t="n"/>
      <c r="O145" s="2" t="n"/>
      <c r="P145" s="2" t="n"/>
      <c r="Q145" s="2" t="n"/>
      <c r="R145" s="2" t="n"/>
      <c r="S145" s="2" t="n"/>
      <c r="T145" s="2" t="n"/>
      <c r="U145" s="2" t="n"/>
      <c r="V145" s="2" t="n"/>
      <c r="W145" s="2" t="n"/>
      <c r="X145" s="2" t="n"/>
    </row>
    <row r="146">
      <c r="A146" s="2" t="inlineStr">
        <is>
          <t xml:space="preserve">  Company H2 plan: FX</t>
        </is>
      </c>
      <c r="B146" s="2" t="n"/>
      <c r="C146" s="2" t="n"/>
      <c r="D146" s="2" t="n"/>
      <c r="E146" s="2" t="n"/>
      <c r="F146" s="8" t="n">
        <v>36</v>
      </c>
      <c r="G146" s="8" t="n">
        <v>36</v>
      </c>
      <c r="H146" s="2" t="n"/>
      <c r="I146" s="2" t="n"/>
      <c r="J146" s="2" t="n"/>
      <c r="K146" s="2" t="n"/>
      <c r="L146" s="2" t="n"/>
      <c r="M146" s="2" t="n"/>
      <c r="N146" s="2" t="n"/>
      <c r="O146" s="2" t="n"/>
      <c r="P146" s="2" t="n"/>
      <c r="Q146" s="2" t="n"/>
      <c r="R146" s="2" t="n"/>
      <c r="S146" s="2" t="n"/>
      <c r="T146" s="2" t="n"/>
      <c r="U146" s="2" t="n"/>
      <c r="V146" s="2" t="n"/>
      <c r="W146" s="2" t="n"/>
      <c r="X146" s="2" t="n"/>
    </row>
    <row r="147">
      <c r="A147" s="2" t="inlineStr">
        <is>
          <t xml:space="preserve">  Company H2 plan: Expenses</t>
        </is>
      </c>
      <c r="B147" s="2" t="n"/>
      <c r="C147" s="2" t="n"/>
      <c r="D147" s="2" t="n"/>
      <c r="E147" s="2" t="n"/>
      <c r="F147" s="8" t="n">
        <v>-58</v>
      </c>
      <c r="G147" s="8" t="n">
        <v>-58</v>
      </c>
      <c r="H147" s="2" t="n"/>
      <c r="I147" s="2" t="n"/>
      <c r="J147" s="2" t="n"/>
      <c r="K147" s="2" t="n"/>
      <c r="L147" s="2" t="n"/>
      <c r="M147" s="2" t="n"/>
      <c r="N147" s="2" t="n"/>
      <c r="O147" s="2" t="n"/>
      <c r="P147" s="2" t="n"/>
      <c r="Q147" s="2" t="n"/>
      <c r="R147" s="2" t="n"/>
      <c r="S147" s="2" t="n"/>
      <c r="T147" s="2" t="n"/>
      <c r="U147" s="2" t="n"/>
      <c r="V147" s="2" t="n"/>
      <c r="W147" s="2" t="n"/>
      <c r="X147" s="2" t="n"/>
    </row>
    <row r="148">
      <c r="A148" s="2" t="inlineStr">
        <is>
          <t xml:space="preserve">  Company H2 plan: Sports + industrial</t>
        </is>
      </c>
      <c r="B148" s="2" t="n"/>
      <c r="C148" s="2" t="n"/>
      <c r="D148" s="2" t="n"/>
      <c r="E148" s="2" t="n"/>
      <c r="F148" s="8" t="n">
        <v>12.5</v>
      </c>
      <c r="G148" s="8" t="n">
        <v>12.5</v>
      </c>
      <c r="H148" s="2" t="n"/>
      <c r="I148" s="2" t="n"/>
      <c r="J148" s="2" t="n"/>
      <c r="K148" s="2" t="n"/>
      <c r="L148" s="2" t="n"/>
      <c r="M148" s="2" t="n"/>
      <c r="N148" s="2" t="n"/>
      <c r="O148" s="2" t="n"/>
      <c r="P148" s="2" t="n"/>
      <c r="Q148" s="2" t="n"/>
      <c r="R148" s="2" t="n"/>
      <c r="S148" s="2" t="n"/>
      <c r="T148" s="2" t="n"/>
      <c r="U148" s="2" t="n"/>
      <c r="V148" s="2" t="n"/>
      <c r="W148" s="2" t="n"/>
      <c r="X148" s="2" t="n"/>
    </row>
    <row r="149">
      <c r="A149" s="2" t="inlineStr">
        <is>
          <t xml:space="preserve">  Company H2 plan: Petroleum materials (locked to Dec per IR)</t>
        </is>
      </c>
      <c r="B149" s="2" t="n"/>
      <c r="C149" s="2" t="n"/>
      <c r="D149" s="2" t="n"/>
      <c r="E149" s="2" t="n"/>
      <c r="F149" s="8" t="n">
        <v>-46.5</v>
      </c>
      <c r="G149" s="8" t="n">
        <v>-46.5</v>
      </c>
      <c r="H149" s="2" t="n"/>
      <c r="I149" s="2" t="n"/>
      <c r="J149" s="2" t="n"/>
      <c r="K149" s="2" t="n"/>
      <c r="L149" s="2" t="n"/>
      <c r="M149" s="2" t="n"/>
      <c r="N149" s="2" t="n"/>
      <c r="O149" s="2" t="n"/>
      <c r="P149" s="2" t="n"/>
      <c r="Q149" s="2" t="n"/>
      <c r="R149" s="2" t="n"/>
      <c r="S149" s="2" t="n"/>
      <c r="T149" s="2" t="n"/>
      <c r="U149" s="2" t="n"/>
      <c r="V149" s="2" t="n"/>
      <c r="W149" s="2" t="n"/>
      <c r="X149" s="2" t="n"/>
    </row>
    <row r="150">
      <c r="A150" s="2" t="inlineStr">
        <is>
          <t xml:space="preserve">  Company H2 plan: own-brand units (10k)</t>
        </is>
      </c>
      <c r="B150" s="2" t="n"/>
      <c r="C150" s="2" t="n"/>
      <c r="D150" s="2" t="n"/>
      <c r="E150" s="2" t="n"/>
      <c r="F150" s="28" t="n">
        <v>2487</v>
      </c>
      <c r="G150" s="28" t="n">
        <v>2551</v>
      </c>
      <c r="H150" s="2" t="n"/>
      <c r="I150" s="2" t="n"/>
      <c r="J150" s="2" t="n"/>
      <c r="K150" s="2" t="n"/>
      <c r="L150" s="2" t="n"/>
      <c r="M150" s="2" t="n"/>
      <c r="N150" s="2" t="n"/>
      <c r="O150" s="2" t="n"/>
      <c r="P150" s="2" t="n"/>
      <c r="Q150" s="2" t="n"/>
      <c r="R150" s="2" t="n"/>
      <c r="S150" s="2" t="n"/>
      <c r="T150" s="2" t="n"/>
      <c r="U150" s="2" t="n"/>
      <c r="V150" s="2" t="n"/>
      <c r="W150" s="2" t="n"/>
      <c r="X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row>
    <row r="152">
      <c r="A152" s="3" t="inlineStr">
        <is>
          <t xml:space="preserve">  Common items (annual, JPY100m)</t>
        </is>
      </c>
      <c r="B152" s="3" t="inlineStr">
        <is>
          <t>FY27</t>
        </is>
      </c>
      <c r="C152" s="3" t="inlineStr">
        <is>
          <t>FY28</t>
        </is>
      </c>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row>
    <row r="153">
      <c r="A153" s="2" t="inlineStr">
        <is>
          <t xml:space="preserve">    Unrealized profit</t>
        </is>
      </c>
      <c r="B153" s="8" t="n">
        <v>-58</v>
      </c>
      <c r="C153" s="8" t="n">
        <v>0</v>
      </c>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row>
    <row r="154">
      <c r="A154" s="2" t="inlineStr">
        <is>
          <t xml:space="preserve">    Tariffs (IEEPA refund drops out)</t>
        </is>
      </c>
      <c r="B154" s="8" t="n">
        <v>-40</v>
      </c>
      <c r="C154" s="8" t="n">
        <v>0</v>
      </c>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row>
    <row r="155">
      <c r="A155" s="2" t="inlineStr">
        <is>
          <t xml:space="preserve">    Freight</t>
        </is>
      </c>
      <c r="B155" s="8" t="n">
        <v>-20</v>
      </c>
      <c r="C155" s="8" t="n">
        <v>0</v>
      </c>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row>
    <row r="156">
      <c r="A156" s="2" t="inlineStr">
        <is>
          <t xml:space="preserve">    Project ARK / cost</t>
        </is>
      </c>
      <c r="B156" s="8" t="n">
        <v>100</v>
      </c>
      <c r="C156" s="8" t="n">
        <v>50</v>
      </c>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row>
    <row r="157">
      <c r="A157" s="2" t="inlineStr">
        <is>
          <t xml:space="preserve">    Expenses</t>
        </is>
      </c>
      <c r="B157" s="8" t="n">
        <v>-130</v>
      </c>
      <c r="C157" s="8" t="n">
        <v>-130</v>
      </c>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row>
    <row r="158">
      <c r="A158" s="2" t="inlineStr">
        <is>
          <t xml:space="preserve">    Sports + industrial</t>
        </is>
      </c>
      <c r="B158" s="8" t="n">
        <v>15</v>
      </c>
      <c r="C158" s="8" t="n">
        <v>15</v>
      </c>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row>
    <row r="160">
      <c r="A160" s="6" t="inlineStr">
        <is>
          <t>1. Bull — volumes &amp; cost prices</t>
        </is>
      </c>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row>
    <row r="161">
      <c r="A161" s="2" t="inlineStr">
        <is>
          <t xml:space="preserve">  Own production (10k t)</t>
        </is>
      </c>
      <c r="B161" s="26" t="n">
        <v>14.1</v>
      </c>
      <c r="C161" s="26" t="n">
        <v>13.2</v>
      </c>
      <c r="D161" s="26" t="n">
        <v>13</v>
      </c>
      <c r="E161" s="26" t="n">
        <v>13.2</v>
      </c>
      <c r="F161" s="26" t="n">
        <v>13.7</v>
      </c>
      <c r="G161" s="26" t="n">
        <v>13.5</v>
      </c>
      <c r="H161" s="40">
        <f>D161*(1+B$31/100)</f>
        <v/>
      </c>
      <c r="I161" s="40">
        <f>E161*(1+B$31/100)</f>
        <v/>
      </c>
      <c r="J161" s="40">
        <f>F161*(1+B$31/100)</f>
        <v/>
      </c>
      <c r="K161" s="40">
        <f>G161*(1+B$31/100)</f>
        <v/>
      </c>
      <c r="L161" s="40">
        <f>H161*(1+B$31/100)</f>
        <v/>
      </c>
      <c r="M161" s="40">
        <f>I161*(1+B$31/100)</f>
        <v/>
      </c>
      <c r="N161" s="2" t="n"/>
      <c r="O161" s="2" t="n"/>
      <c r="P161" s="2" t="n"/>
      <c r="Q161" s="2" t="n"/>
      <c r="R161" s="2" t="n"/>
      <c r="S161" s="2" t="n"/>
      <c r="T161" s="2" t="n"/>
      <c r="U161" s="2" t="n"/>
      <c r="V161" s="2" t="n"/>
      <c r="W161" s="2" t="n"/>
      <c r="X161" s="2" t="n"/>
    </row>
    <row r="162">
      <c r="A162" s="2" t="inlineStr">
        <is>
          <t xml:space="preserve">  TSR20 cost price, 3M lag ($/kg)</t>
        </is>
      </c>
      <c r="B162" s="19" t="n">
        <v>1.674</v>
      </c>
      <c r="C162" s="19" t="n">
        <v>1.71</v>
      </c>
      <c r="D162" s="19" t="n">
        <v>1.72</v>
      </c>
      <c r="E162" s="19" t="n">
        <v>1.913</v>
      </c>
      <c r="F162" s="19" t="n">
        <v>2.177</v>
      </c>
      <c r="G162" s="19" t="n">
        <v>2.263</v>
      </c>
      <c r="H162" s="20">
        <f>$B$133*(1+B$27*H$138)</f>
        <v/>
      </c>
      <c r="I162" s="20">
        <f>$B$133*(1+B$27*I$138)</f>
        <v/>
      </c>
      <c r="J162" s="20">
        <f>$B$133*(1+B$27*J$138)</f>
        <v/>
      </c>
      <c r="K162" s="20">
        <f>$B$133*(1+B$27*K$138)</f>
        <v/>
      </c>
      <c r="L162" s="20">
        <f>$B$133*(1+B$27*L$138)</f>
        <v/>
      </c>
      <c r="M162" s="20">
        <f>$B$133*(1+B$27*M$138)</f>
        <v/>
      </c>
      <c r="N162" s="2" t="n"/>
      <c r="O162" s="2" t="n"/>
      <c r="P162" s="2" t="n"/>
      <c r="Q162" s="2" t="n"/>
      <c r="R162" s="2" t="n"/>
      <c r="S162" s="2" t="n"/>
      <c r="T162" s="2" t="n"/>
      <c r="U162" s="2" t="n"/>
      <c r="V162" s="2" t="n"/>
      <c r="W162" s="2" t="n"/>
      <c r="X162" s="2" t="n"/>
    </row>
    <row r="163">
      <c r="A163" s="2" t="inlineStr">
        <is>
          <t xml:space="preserve">  Dubai cost price, 6M lag ($/bbl)</t>
        </is>
      </c>
      <c r="B163" s="26" t="n">
        <v>76.70099999999999</v>
      </c>
      <c r="C163" s="26" t="n">
        <v>67.15300000000001</v>
      </c>
      <c r="D163" s="26" t="n">
        <v>70.117</v>
      </c>
      <c r="E163" s="26" t="n">
        <v>63.595</v>
      </c>
      <c r="F163" s="26" t="n">
        <v>85.98099999999999</v>
      </c>
      <c r="G163" s="26" t="n">
        <v>95.068</v>
      </c>
      <c r="H163" s="26" t="n">
        <v>83.499</v>
      </c>
      <c r="I163" s="40">
        <f>B$28</f>
        <v/>
      </c>
      <c r="J163" s="40">
        <f>B$28</f>
        <v/>
      </c>
      <c r="K163" s="40">
        <f>B$28</f>
        <v/>
      </c>
      <c r="L163" s="40">
        <f>B$28</f>
        <v/>
      </c>
      <c r="M163" s="40">
        <f>B$28</f>
        <v/>
      </c>
      <c r="N163" s="2" t="n"/>
      <c r="O163" s="2" t="n"/>
      <c r="P163" s="2" t="n"/>
      <c r="Q163" s="2" t="n"/>
      <c r="R163" s="2" t="n"/>
      <c r="S163" s="2" t="n"/>
      <c r="T163" s="2" t="n"/>
      <c r="U163" s="2" t="n"/>
      <c r="V163" s="2" t="n"/>
      <c r="W163" s="2" t="n"/>
      <c r="X163" s="2" t="n"/>
    </row>
    <row r="164">
      <c r="A164" s="2" t="inlineStr">
        <is>
          <t xml:space="preserve">  Own-brand units (10k)</t>
        </is>
      </c>
      <c r="B164" s="28" t="n">
        <v>2406</v>
      </c>
      <c r="C164" s="28" t="n">
        <v>2565</v>
      </c>
      <c r="D164" s="28" t="n">
        <v>2248.1</v>
      </c>
      <c r="E164" s="28" t="n">
        <v>2351.1</v>
      </c>
      <c r="F164" s="41">
        <f>F$150*B$32/100</f>
        <v/>
      </c>
      <c r="G164" s="41">
        <f>G$150*B$32/100</f>
        <v/>
      </c>
      <c r="H164" s="41">
        <f>D164*(1+B$31/100)</f>
        <v/>
      </c>
      <c r="I164" s="41">
        <f>E164*(1+B$31/100)</f>
        <v/>
      </c>
      <c r="J164" s="41">
        <f>F164*(1+B$31/100)</f>
        <v/>
      </c>
      <c r="K164" s="41">
        <f>G164*(1+B$31/100)</f>
        <v/>
      </c>
      <c r="L164" s="41">
        <f>H164*(1+B$31/100)</f>
        <v/>
      </c>
      <c r="M164" s="41">
        <f>I164*(1+B$31/100)</f>
        <v/>
      </c>
      <c r="N164" s="2" t="n"/>
      <c r="O164" s="2" t="n"/>
      <c r="P164" s="2" t="n"/>
      <c r="Q164" s="2" t="n"/>
      <c r="R164" s="2" t="n"/>
      <c r="S164" s="2" t="n"/>
      <c r="T164" s="2" t="n"/>
      <c r="U164" s="2" t="n"/>
      <c r="V164" s="2" t="n"/>
      <c r="W164" s="2" t="n"/>
      <c r="X164" s="2" t="n"/>
    </row>
    <row r="165">
      <c r="A165" s="2" t="inlineStr">
        <is>
          <t xml:space="preserve">  Goodyear offtake units (10k)</t>
        </is>
      </c>
      <c r="B165" s="26" t="n">
        <v>0</v>
      </c>
      <c r="C165" s="26" t="n">
        <v>0</v>
      </c>
      <c r="D165" s="26" t="n">
        <v>53.9</v>
      </c>
      <c r="E165" s="26" t="n">
        <v>53.9</v>
      </c>
      <c r="F165" s="40">
        <f>$B$134*B$33/100</f>
        <v/>
      </c>
      <c r="G165" s="40">
        <f>$B$134*B$33/100</f>
        <v/>
      </c>
      <c r="H165" s="40">
        <f>B$34/4</f>
        <v/>
      </c>
      <c r="I165" s="40">
        <f>B$34/4</f>
        <v/>
      </c>
      <c r="J165" s="40">
        <f>B$34/4</f>
        <v/>
      </c>
      <c r="K165" s="40">
        <f>B$34/4</f>
        <v/>
      </c>
      <c r="L165" s="26" t="n">
        <v>45</v>
      </c>
      <c r="M165" s="26" t="n">
        <v>45</v>
      </c>
      <c r="N165" s="2" t="n"/>
      <c r="O165" s="2" t="n"/>
      <c r="P165" s="2" t="n"/>
      <c r="Q165" s="2" t="n"/>
      <c r="R165" s="2" t="n"/>
      <c r="S165" s="2" t="n"/>
      <c r="T165" s="2" t="n"/>
      <c r="U165" s="2" t="n"/>
      <c r="V165" s="2" t="n"/>
      <c r="W165" s="2" t="n"/>
      <c r="X165" s="2" t="n"/>
    </row>
    <row r="166">
      <c r="A166" s="2" t="inlineStr">
        <is>
          <t xml:space="preserve">  SYNCHRO WEATHER units (10k)</t>
        </is>
      </c>
      <c r="B166" s="26" t="n">
        <v>15</v>
      </c>
      <c r="C166" s="26" t="n">
        <v>15</v>
      </c>
      <c r="D166" s="26" t="n">
        <v>20</v>
      </c>
      <c r="E166" s="26" t="n">
        <v>20</v>
      </c>
      <c r="F166" s="26" t="n">
        <v>30</v>
      </c>
      <c r="G166" s="26" t="n">
        <v>30</v>
      </c>
      <c r="H166" s="40">
        <f>B$35*H$139</f>
        <v/>
      </c>
      <c r="I166" s="40">
        <f>B$35*I$139</f>
        <v/>
      </c>
      <c r="J166" s="40">
        <f>B$35*J$139</f>
        <v/>
      </c>
      <c r="K166" s="40">
        <f>B$35*K$139</f>
        <v/>
      </c>
      <c r="L166" s="40">
        <f>B$35*$B$136*L$139</f>
        <v/>
      </c>
      <c r="M166" s="40">
        <f>B$35*$B$136*M$139</f>
        <v/>
      </c>
      <c r="N166" s="2" t="n"/>
      <c r="O166" s="2" t="n"/>
      <c r="P166" s="2" t="n"/>
      <c r="Q166" s="2" t="n"/>
      <c r="R166" s="2" t="n"/>
      <c r="S166" s="2" t="n"/>
      <c r="T166" s="2" t="n"/>
      <c r="U166" s="2" t="n"/>
      <c r="V166" s="2" t="n"/>
      <c r="W166" s="2" t="n"/>
      <c r="X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row>
    <row r="168">
      <c r="A168" s="6" t="inlineStr">
        <is>
          <t>2. Base — volumes &amp; cost prices</t>
        </is>
      </c>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row>
    <row r="169">
      <c r="A169" s="2" t="inlineStr">
        <is>
          <t xml:space="preserve">  Own production (10k t)</t>
        </is>
      </c>
      <c r="B169" s="26" t="n">
        <v>14.1</v>
      </c>
      <c r="C169" s="26" t="n">
        <v>13.2</v>
      </c>
      <c r="D169" s="26" t="n">
        <v>13</v>
      </c>
      <c r="E169" s="26" t="n">
        <v>13.2</v>
      </c>
      <c r="F169" s="26" t="n">
        <v>13.7</v>
      </c>
      <c r="G169" s="26" t="n">
        <v>13.5</v>
      </c>
      <c r="H169" s="40">
        <f>D169*(1+C$31/100)</f>
        <v/>
      </c>
      <c r="I169" s="40">
        <f>E169*(1+C$31/100)</f>
        <v/>
      </c>
      <c r="J169" s="40">
        <f>F169*(1+C$31/100)</f>
        <v/>
      </c>
      <c r="K169" s="40">
        <f>G169*(1+C$31/100)</f>
        <v/>
      </c>
      <c r="L169" s="40">
        <f>H169*(1+C$31/100)</f>
        <v/>
      </c>
      <c r="M169" s="40">
        <f>I169*(1+C$31/100)</f>
        <v/>
      </c>
      <c r="N169" s="2" t="n"/>
      <c r="O169" s="2" t="n"/>
      <c r="P169" s="2" t="n"/>
      <c r="Q169" s="2" t="n"/>
      <c r="R169" s="2" t="n"/>
      <c r="S169" s="2" t="n"/>
      <c r="T169" s="2" t="n"/>
      <c r="U169" s="2" t="n"/>
      <c r="V169" s="2" t="n"/>
      <c r="W169" s="2" t="n"/>
      <c r="X169" s="2" t="n"/>
    </row>
    <row r="170">
      <c r="A170" s="2" t="inlineStr">
        <is>
          <t xml:space="preserve">  TSR20 cost price, 3M lag ($/kg)</t>
        </is>
      </c>
      <c r="B170" s="19" t="n">
        <v>1.674</v>
      </c>
      <c r="C170" s="19" t="n">
        <v>1.71</v>
      </c>
      <c r="D170" s="19" t="n">
        <v>1.72</v>
      </c>
      <c r="E170" s="19" t="n">
        <v>1.913</v>
      </c>
      <c r="F170" s="19" t="n">
        <v>2.177</v>
      </c>
      <c r="G170" s="19" t="n">
        <v>2.263</v>
      </c>
      <c r="H170" s="20">
        <f>$B$133*(1+C$27*H$138)</f>
        <v/>
      </c>
      <c r="I170" s="20">
        <f>$B$133*(1+C$27*I$138)</f>
        <v/>
      </c>
      <c r="J170" s="20">
        <f>$B$133*(1+C$27*J$138)</f>
        <v/>
      </c>
      <c r="K170" s="20">
        <f>$B$133*(1+C$27*K$138)</f>
        <v/>
      </c>
      <c r="L170" s="20">
        <f>$B$133*(1+C$27*L$138)</f>
        <v/>
      </c>
      <c r="M170" s="20">
        <f>$B$133*(1+C$27*M$138)</f>
        <v/>
      </c>
      <c r="N170" s="2" t="n"/>
      <c r="O170" s="2" t="n"/>
      <c r="P170" s="2" t="n"/>
      <c r="Q170" s="2" t="n"/>
      <c r="R170" s="2" t="n"/>
      <c r="S170" s="2" t="n"/>
      <c r="T170" s="2" t="n"/>
      <c r="U170" s="2" t="n"/>
      <c r="V170" s="2" t="n"/>
      <c r="W170" s="2" t="n"/>
      <c r="X170" s="2" t="n"/>
    </row>
    <row r="171">
      <c r="A171" s="2" t="inlineStr">
        <is>
          <t xml:space="preserve">  Dubai cost price, 6M lag ($/bbl)</t>
        </is>
      </c>
      <c r="B171" s="26" t="n">
        <v>76.70099999999999</v>
      </c>
      <c r="C171" s="26" t="n">
        <v>67.15300000000001</v>
      </c>
      <c r="D171" s="26" t="n">
        <v>70.117</v>
      </c>
      <c r="E171" s="26" t="n">
        <v>63.595</v>
      </c>
      <c r="F171" s="26" t="n">
        <v>85.98099999999999</v>
      </c>
      <c r="G171" s="26" t="n">
        <v>95.068</v>
      </c>
      <c r="H171" s="26" t="n">
        <v>83.499</v>
      </c>
      <c r="I171" s="40">
        <f>C$28</f>
        <v/>
      </c>
      <c r="J171" s="40">
        <f>C$28</f>
        <v/>
      </c>
      <c r="K171" s="40">
        <f>C$28</f>
        <v/>
      </c>
      <c r="L171" s="40">
        <f>C$28</f>
        <v/>
      </c>
      <c r="M171" s="40">
        <f>C$28</f>
        <v/>
      </c>
      <c r="N171" s="2" t="n"/>
      <c r="O171" s="2" t="n"/>
      <c r="P171" s="2" t="n"/>
      <c r="Q171" s="2" t="n"/>
      <c r="R171" s="2" t="n"/>
      <c r="S171" s="2" t="n"/>
      <c r="T171" s="2" t="n"/>
      <c r="U171" s="2" t="n"/>
      <c r="V171" s="2" t="n"/>
      <c r="W171" s="2" t="n"/>
      <c r="X171" s="2" t="n"/>
    </row>
    <row r="172">
      <c r="A172" s="2" t="inlineStr">
        <is>
          <t xml:space="preserve">  Own-brand units (10k)</t>
        </is>
      </c>
      <c r="B172" s="28" t="n">
        <v>2406</v>
      </c>
      <c r="C172" s="28" t="n">
        <v>2565</v>
      </c>
      <c r="D172" s="28" t="n">
        <v>2248.1</v>
      </c>
      <c r="E172" s="28" t="n">
        <v>2351.1</v>
      </c>
      <c r="F172" s="41">
        <f>F$150*C$32/100</f>
        <v/>
      </c>
      <c r="G172" s="41">
        <f>G$150*C$32/100</f>
        <v/>
      </c>
      <c r="H172" s="41">
        <f>D172*(1+C$31/100)</f>
        <v/>
      </c>
      <c r="I172" s="41">
        <f>E172*(1+C$31/100)</f>
        <v/>
      </c>
      <c r="J172" s="41">
        <f>F172*(1+C$31/100)</f>
        <v/>
      </c>
      <c r="K172" s="41">
        <f>G172*(1+C$31/100)</f>
        <v/>
      </c>
      <c r="L172" s="41">
        <f>H172*(1+C$31/100)</f>
        <v/>
      </c>
      <c r="M172" s="41">
        <f>I172*(1+C$31/100)</f>
        <v/>
      </c>
      <c r="N172" s="2" t="n"/>
      <c r="O172" s="2" t="n"/>
      <c r="P172" s="2" t="n"/>
      <c r="Q172" s="2" t="n"/>
      <c r="R172" s="2" t="n"/>
      <c r="S172" s="2" t="n"/>
      <c r="T172" s="2" t="n"/>
      <c r="U172" s="2" t="n"/>
      <c r="V172" s="2" t="n"/>
      <c r="W172" s="2" t="n"/>
      <c r="X172" s="2" t="n"/>
    </row>
    <row r="173">
      <c r="A173" s="2" t="inlineStr">
        <is>
          <t xml:space="preserve">  Goodyear offtake units (10k)</t>
        </is>
      </c>
      <c r="B173" s="26" t="n">
        <v>0</v>
      </c>
      <c r="C173" s="26" t="n">
        <v>0</v>
      </c>
      <c r="D173" s="26" t="n">
        <v>53.9</v>
      </c>
      <c r="E173" s="26" t="n">
        <v>53.9</v>
      </c>
      <c r="F173" s="40">
        <f>$B$134*C$33/100</f>
        <v/>
      </c>
      <c r="G173" s="40">
        <f>$B$134*C$33/100</f>
        <v/>
      </c>
      <c r="H173" s="40">
        <f>C$34/4</f>
        <v/>
      </c>
      <c r="I173" s="40">
        <f>C$34/4</f>
        <v/>
      </c>
      <c r="J173" s="40">
        <f>C$34/4</f>
        <v/>
      </c>
      <c r="K173" s="40">
        <f>C$34/4</f>
        <v/>
      </c>
      <c r="L173" s="26" t="n">
        <v>50</v>
      </c>
      <c r="M173" s="26" t="n">
        <v>50</v>
      </c>
      <c r="N173" s="2" t="n"/>
      <c r="O173" s="2" t="n"/>
      <c r="P173" s="2" t="n"/>
      <c r="Q173" s="2" t="n"/>
      <c r="R173" s="2" t="n"/>
      <c r="S173" s="2" t="n"/>
      <c r="T173" s="2" t="n"/>
      <c r="U173" s="2" t="n"/>
      <c r="V173" s="2" t="n"/>
      <c r="W173" s="2" t="n"/>
      <c r="X173" s="2" t="n"/>
    </row>
    <row r="174">
      <c r="A174" s="2" t="inlineStr">
        <is>
          <t xml:space="preserve">  SYNCHRO WEATHER units (10k)</t>
        </is>
      </c>
      <c r="B174" s="26" t="n">
        <v>15</v>
      </c>
      <c r="C174" s="26" t="n">
        <v>15</v>
      </c>
      <c r="D174" s="26" t="n">
        <v>20</v>
      </c>
      <c r="E174" s="26" t="n">
        <v>20</v>
      </c>
      <c r="F174" s="26" t="n">
        <v>30</v>
      </c>
      <c r="G174" s="26" t="n">
        <v>30</v>
      </c>
      <c r="H174" s="40">
        <f>C$35*H$139</f>
        <v/>
      </c>
      <c r="I174" s="40">
        <f>C$35*I$139</f>
        <v/>
      </c>
      <c r="J174" s="40">
        <f>C$35*J$139</f>
        <v/>
      </c>
      <c r="K174" s="40">
        <f>C$35*K$139</f>
        <v/>
      </c>
      <c r="L174" s="40">
        <f>C$35*$B$136*L$139</f>
        <v/>
      </c>
      <c r="M174" s="40">
        <f>C$35*$B$136*M$139</f>
        <v/>
      </c>
      <c r="N174" s="2" t="n"/>
      <c r="O174" s="2" t="n"/>
      <c r="P174" s="2" t="n"/>
      <c r="Q174" s="2" t="n"/>
      <c r="R174" s="2" t="n"/>
      <c r="S174" s="2" t="n"/>
      <c r="T174" s="2" t="n"/>
      <c r="U174" s="2" t="n"/>
      <c r="V174" s="2" t="n"/>
      <c r="W174" s="2" t="n"/>
      <c r="X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row>
    <row r="176">
      <c r="A176" s="6" t="inlineStr">
        <is>
          <t>3. Bear — volumes &amp; cost prices</t>
        </is>
      </c>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row>
    <row r="177">
      <c r="A177" s="2" t="inlineStr">
        <is>
          <t xml:space="preserve">  Own production (10k t)</t>
        </is>
      </c>
      <c r="B177" s="26" t="n">
        <v>14.1</v>
      </c>
      <c r="C177" s="26" t="n">
        <v>13.2</v>
      </c>
      <c r="D177" s="26" t="n">
        <v>13</v>
      </c>
      <c r="E177" s="26" t="n">
        <v>13.2</v>
      </c>
      <c r="F177" s="26" t="n">
        <v>13.7</v>
      </c>
      <c r="G177" s="26" t="n">
        <v>13.5</v>
      </c>
      <c r="H177" s="40">
        <f>D177*(1+D$31/100)</f>
        <v/>
      </c>
      <c r="I177" s="40">
        <f>E177*(1+D$31/100)</f>
        <v/>
      </c>
      <c r="J177" s="40">
        <f>F177*(1+D$31/100)</f>
        <v/>
      </c>
      <c r="K177" s="40">
        <f>G177*(1+D$31/100)</f>
        <v/>
      </c>
      <c r="L177" s="40">
        <f>H177*(1+D$31/100)</f>
        <v/>
      </c>
      <c r="M177" s="40">
        <f>I177*(1+D$31/100)</f>
        <v/>
      </c>
      <c r="N177" s="2" t="n"/>
      <c r="O177" s="2" t="n"/>
      <c r="P177" s="2" t="n"/>
      <c r="Q177" s="2" t="n"/>
      <c r="R177" s="2" t="n"/>
      <c r="S177" s="2" t="n"/>
      <c r="T177" s="2" t="n"/>
      <c r="U177" s="2" t="n"/>
      <c r="V177" s="2" t="n"/>
      <c r="W177" s="2" t="n"/>
      <c r="X177" s="2" t="n"/>
    </row>
    <row r="178">
      <c r="A178" s="2" t="inlineStr">
        <is>
          <t xml:space="preserve">  TSR20 cost price, 3M lag ($/kg)</t>
        </is>
      </c>
      <c r="B178" s="19" t="n">
        <v>1.674</v>
      </c>
      <c r="C178" s="19" t="n">
        <v>1.71</v>
      </c>
      <c r="D178" s="19" t="n">
        <v>1.72</v>
      </c>
      <c r="E178" s="19" t="n">
        <v>1.913</v>
      </c>
      <c r="F178" s="19" t="n">
        <v>2.177</v>
      </c>
      <c r="G178" s="19" t="n">
        <v>2.263</v>
      </c>
      <c r="H178" s="20">
        <f>$B$133*(1+D$27*H$138)</f>
        <v/>
      </c>
      <c r="I178" s="20">
        <f>$B$133*(1+D$27*I$138)</f>
        <v/>
      </c>
      <c r="J178" s="20">
        <f>$B$133*(1+D$27*J$138)</f>
        <v/>
      </c>
      <c r="K178" s="20">
        <f>$B$133*(1+D$27*K$138)</f>
        <v/>
      </c>
      <c r="L178" s="20">
        <f>$B$133*(1+D$27*L$138)</f>
        <v/>
      </c>
      <c r="M178" s="20">
        <f>$B$133*(1+D$27*M$138)</f>
        <v/>
      </c>
      <c r="N178" s="2" t="n"/>
      <c r="O178" s="2" t="n"/>
      <c r="P178" s="2" t="n"/>
      <c r="Q178" s="2" t="n"/>
      <c r="R178" s="2" t="n"/>
      <c r="S178" s="2" t="n"/>
      <c r="T178" s="2" t="n"/>
      <c r="U178" s="2" t="n"/>
      <c r="V178" s="2" t="n"/>
      <c r="W178" s="2" t="n"/>
      <c r="X178" s="2" t="n"/>
    </row>
    <row r="179">
      <c r="A179" s="2" t="inlineStr">
        <is>
          <t xml:space="preserve">  Dubai cost price, 6M lag ($/bbl)</t>
        </is>
      </c>
      <c r="B179" s="26" t="n">
        <v>76.70099999999999</v>
      </c>
      <c r="C179" s="26" t="n">
        <v>67.15300000000001</v>
      </c>
      <c r="D179" s="26" t="n">
        <v>70.117</v>
      </c>
      <c r="E179" s="26" t="n">
        <v>63.595</v>
      </c>
      <c r="F179" s="26" t="n">
        <v>85.98099999999999</v>
      </c>
      <c r="G179" s="26" t="n">
        <v>95.068</v>
      </c>
      <c r="H179" s="26" t="n">
        <v>83.499</v>
      </c>
      <c r="I179" s="40">
        <f>D$28</f>
        <v/>
      </c>
      <c r="J179" s="40">
        <f>D$28</f>
        <v/>
      </c>
      <c r="K179" s="40">
        <f>D$28</f>
        <v/>
      </c>
      <c r="L179" s="40">
        <f>D$28</f>
        <v/>
      </c>
      <c r="M179" s="40">
        <f>D$28</f>
        <v/>
      </c>
      <c r="N179" s="2" t="n"/>
      <c r="O179" s="2" t="n"/>
      <c r="P179" s="2" t="n"/>
      <c r="Q179" s="2" t="n"/>
      <c r="R179" s="2" t="n"/>
      <c r="S179" s="2" t="n"/>
      <c r="T179" s="2" t="n"/>
      <c r="U179" s="2" t="n"/>
      <c r="V179" s="2" t="n"/>
      <c r="W179" s="2" t="n"/>
      <c r="X179" s="2" t="n"/>
    </row>
    <row r="180">
      <c r="A180" s="2" t="inlineStr">
        <is>
          <t xml:space="preserve">  Own-brand units (10k)</t>
        </is>
      </c>
      <c r="B180" s="28" t="n">
        <v>2406</v>
      </c>
      <c r="C180" s="28" t="n">
        <v>2565</v>
      </c>
      <c r="D180" s="28" t="n">
        <v>2248.1</v>
      </c>
      <c r="E180" s="28" t="n">
        <v>2351.1</v>
      </c>
      <c r="F180" s="41">
        <f>F$150*D$32/100</f>
        <v/>
      </c>
      <c r="G180" s="41">
        <f>G$150*D$32/100</f>
        <v/>
      </c>
      <c r="H180" s="41">
        <f>D180*(1+D$31/100)</f>
        <v/>
      </c>
      <c r="I180" s="41">
        <f>E180*(1+D$31/100)</f>
        <v/>
      </c>
      <c r="J180" s="41">
        <f>F180*(1+D$31/100)</f>
        <v/>
      </c>
      <c r="K180" s="41">
        <f>G180*(1+D$31/100)</f>
        <v/>
      </c>
      <c r="L180" s="41">
        <f>H180*(1+D$31/100)</f>
        <v/>
      </c>
      <c r="M180" s="41">
        <f>I180*(1+D$31/100)</f>
        <v/>
      </c>
      <c r="N180" s="2" t="n"/>
      <c r="O180" s="2" t="n"/>
      <c r="P180" s="2" t="n"/>
      <c r="Q180" s="2" t="n"/>
      <c r="R180" s="2" t="n"/>
      <c r="S180" s="2" t="n"/>
      <c r="T180" s="2" t="n"/>
      <c r="U180" s="2" t="n"/>
      <c r="V180" s="2" t="n"/>
      <c r="W180" s="2" t="n"/>
      <c r="X180" s="2" t="n"/>
    </row>
    <row r="181">
      <c r="A181" s="2" t="inlineStr">
        <is>
          <t xml:space="preserve">  Goodyear offtake units (10k)</t>
        </is>
      </c>
      <c r="B181" s="26" t="n">
        <v>0</v>
      </c>
      <c r="C181" s="26" t="n">
        <v>0</v>
      </c>
      <c r="D181" s="26" t="n">
        <v>53.9</v>
      </c>
      <c r="E181" s="26" t="n">
        <v>53.9</v>
      </c>
      <c r="F181" s="40">
        <f>$B$134*D$33/100</f>
        <v/>
      </c>
      <c r="G181" s="40">
        <f>$B$134*D$33/100</f>
        <v/>
      </c>
      <c r="H181" s="40">
        <f>D$34/4</f>
        <v/>
      </c>
      <c r="I181" s="40">
        <f>D$34/4</f>
        <v/>
      </c>
      <c r="J181" s="40">
        <f>D$34/4</f>
        <v/>
      </c>
      <c r="K181" s="40">
        <f>D$34/4</f>
        <v/>
      </c>
      <c r="L181" s="26" t="n">
        <v>55</v>
      </c>
      <c r="M181" s="26" t="n">
        <v>55</v>
      </c>
      <c r="N181" s="2" t="n"/>
      <c r="O181" s="2" t="n"/>
      <c r="P181" s="2" t="n"/>
      <c r="Q181" s="2" t="n"/>
      <c r="R181" s="2" t="n"/>
      <c r="S181" s="2" t="n"/>
      <c r="T181" s="2" t="n"/>
      <c r="U181" s="2" t="n"/>
      <c r="V181" s="2" t="n"/>
      <c r="W181" s="2" t="n"/>
      <c r="X181" s="2" t="n"/>
    </row>
    <row r="182">
      <c r="A182" s="2" t="inlineStr">
        <is>
          <t xml:space="preserve">  SYNCHRO WEATHER units (10k)</t>
        </is>
      </c>
      <c r="B182" s="26" t="n">
        <v>15</v>
      </c>
      <c r="C182" s="26" t="n">
        <v>15</v>
      </c>
      <c r="D182" s="26" t="n">
        <v>20</v>
      </c>
      <c r="E182" s="26" t="n">
        <v>20</v>
      </c>
      <c r="F182" s="26" t="n">
        <v>30</v>
      </c>
      <c r="G182" s="26" t="n">
        <v>30</v>
      </c>
      <c r="H182" s="40">
        <f>D$35*H$139</f>
        <v/>
      </c>
      <c r="I182" s="40">
        <f>D$35*I$139</f>
        <v/>
      </c>
      <c r="J182" s="40">
        <f>D$35*J$139</f>
        <v/>
      </c>
      <c r="K182" s="40">
        <f>D$35*K$139</f>
        <v/>
      </c>
      <c r="L182" s="40">
        <f>D$35*$B$136*L$139</f>
        <v/>
      </c>
      <c r="M182" s="40">
        <f>D$35*$B$136*M$139</f>
        <v/>
      </c>
      <c r="N182" s="2" t="n"/>
      <c r="O182" s="2" t="n"/>
      <c r="P182" s="2" t="n"/>
      <c r="Q182" s="2" t="n"/>
      <c r="R182" s="2" t="n"/>
      <c r="S182" s="2" t="n"/>
      <c r="T182" s="2" t="n"/>
      <c r="U182" s="2" t="n"/>
      <c r="V182" s="2" t="n"/>
      <c r="W182" s="2" t="n"/>
      <c r="X182" s="2" t="n"/>
    </row>
    <row r="183">
      <c r="A183" s="3" t="inlineStr">
        <is>
          <t>History by segment / region and margin reference (moved from the former Drivers sheet)</t>
        </is>
      </c>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row>
    <row r="185">
      <c r="A185" s="42" t="inlineStr">
        <is>
          <t>2. Sales by Segment (億円) — historical actuals from deck</t>
        </is>
      </c>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row>
    <row r="186">
      <c r="A186" s="6" t="inlineStr"/>
      <c r="B186" s="43" t="inlineStr">
        <is>
          <t>FY24Q3</t>
        </is>
      </c>
      <c r="C186" s="43" t="inlineStr">
        <is>
          <t>FY24Q4</t>
        </is>
      </c>
      <c r="D186" s="43" t="inlineStr">
        <is>
          <t>FY25Q1</t>
        </is>
      </c>
      <c r="E186" s="43" t="inlineStr">
        <is>
          <t>FY25Q2</t>
        </is>
      </c>
      <c r="F186" s="43" t="inlineStr">
        <is>
          <t>FY25Q3</t>
        </is>
      </c>
      <c r="G186" s="43" t="inlineStr">
        <is>
          <t>FY25Q4</t>
        </is>
      </c>
      <c r="H186" s="43" t="inlineStr">
        <is>
          <t>FY26Q1</t>
        </is>
      </c>
      <c r="I186" s="43" t="inlineStr">
        <is>
          <t>FY26Q2</t>
        </is>
      </c>
      <c r="J186" s="2" t="n"/>
      <c r="K186" s="2" t="n"/>
      <c r="L186" s="2" t="n"/>
      <c r="M186" s="2" t="n"/>
      <c r="N186" s="2" t="n"/>
      <c r="O186" s="2" t="n"/>
      <c r="P186" s="2" t="n"/>
      <c r="Q186" s="2" t="n"/>
      <c r="R186" s="2" t="n"/>
      <c r="S186" s="2" t="n"/>
      <c r="T186" s="43" t="inlineStr">
        <is>
          <t>FY24</t>
        </is>
      </c>
      <c r="U186" s="43" t="inlineStr">
        <is>
          <t>FY25</t>
        </is>
      </c>
      <c r="V186" s="44" t="inlineStr">
        <is>
          <t>FY26</t>
        </is>
      </c>
      <c r="W186" s="2" t="n"/>
      <c r="X186" s="2" t="n"/>
    </row>
    <row r="187">
      <c r="A187" s="3" t="inlineStr">
        <is>
          <t>Tires</t>
        </is>
      </c>
      <c r="B187" s="2" t="n"/>
      <c r="C187" s="8" t="n">
        <v>10463.94</v>
      </c>
      <c r="D187" s="2" t="n"/>
      <c r="E187" s="2" t="n"/>
      <c r="F187" s="2" t="n"/>
      <c r="G187" s="8" t="n">
        <v>10436.83</v>
      </c>
      <c r="H187" s="2" t="n"/>
      <c r="I187" s="2" t="n"/>
      <c r="J187" s="2" t="n"/>
      <c r="K187" s="2" t="n"/>
      <c r="L187" s="2" t="n"/>
      <c r="M187" s="2" t="n"/>
      <c r="N187" s="2" t="n"/>
      <c r="O187" s="2" t="n"/>
      <c r="P187" s="2" t="n"/>
      <c r="Q187" s="2" t="n"/>
      <c r="R187" s="2" t="n"/>
      <c r="S187" s="2" t="n"/>
      <c r="T187" s="45">
        <f>IF(COUNT(B187:C187)=0,"",SUM(B187:C187))</f>
        <v/>
      </c>
      <c r="U187" s="45">
        <f>IF(COUNT(D187:G187)=0,"",SUM(D187:G187))</f>
        <v/>
      </c>
      <c r="V187" s="45">
        <f>IF(COUNT(H187:K187)=0,"",SUM(H187:K187))</f>
        <v/>
      </c>
      <c r="W187" s="45">
        <f>IF(COUNT(L187:O187)=0,"",SUM(L187:O187))</f>
        <v/>
      </c>
      <c r="X187" s="45">
        <f>IF(COUNT(P187:Q187)=0,"",SUM(P187:Q187))</f>
        <v/>
      </c>
    </row>
    <row r="188">
      <c r="A188" s="3" t="inlineStr">
        <is>
          <t>Sports</t>
        </is>
      </c>
      <c r="B188" s="2" t="n"/>
      <c r="C188" s="8" t="n">
        <v>1256.5</v>
      </c>
      <c r="D188" s="2" t="n"/>
      <c r="E188" s="2" t="n"/>
      <c r="F188" s="2" t="n"/>
      <c r="G188" s="8" t="n">
        <v>1255.74</v>
      </c>
      <c r="H188" s="2" t="n"/>
      <c r="I188" s="2" t="n"/>
      <c r="J188" s="2" t="n"/>
      <c r="K188" s="2" t="n"/>
      <c r="L188" s="2" t="n"/>
      <c r="M188" s="2" t="n"/>
      <c r="N188" s="2" t="n"/>
      <c r="O188" s="2" t="n"/>
      <c r="P188" s="2" t="n"/>
      <c r="Q188" s="2" t="n"/>
      <c r="R188" s="2" t="n"/>
      <c r="S188" s="2" t="n"/>
      <c r="T188" s="45">
        <f>IF(COUNT(B188:C188)=0,"",SUM(B188:C188))</f>
        <v/>
      </c>
      <c r="U188" s="45">
        <f>IF(COUNT(D188:G188)=0,"",SUM(D188:G188))</f>
        <v/>
      </c>
      <c r="V188" s="45">
        <f>IF(COUNT(H188:K188)=0,"",SUM(H188:K188))</f>
        <v/>
      </c>
      <c r="W188" s="45">
        <f>IF(COUNT(L188:O188)=0,"",SUM(L188:O188))</f>
        <v/>
      </c>
      <c r="X188" s="45">
        <f>IF(COUNT(P188:Q188)=0,"",SUM(P188:Q188))</f>
        <v/>
      </c>
    </row>
    <row r="189">
      <c r="A189" s="3" t="inlineStr">
        <is>
          <t>IndustrialAndOtherProducts</t>
        </is>
      </c>
      <c r="B189" s="2" t="n"/>
      <c r="C189" s="8" t="n">
        <v>398.12</v>
      </c>
      <c r="D189" s="2" t="n"/>
      <c r="E189" s="2" t="n"/>
      <c r="F189" s="2" t="n"/>
      <c r="G189" s="8" t="n">
        <v>378.04</v>
      </c>
      <c r="H189" s="2" t="n"/>
      <c r="I189" s="2" t="n"/>
      <c r="J189" s="2" t="n"/>
      <c r="K189" s="2" t="n"/>
      <c r="L189" s="2" t="n"/>
      <c r="M189" s="2" t="n"/>
      <c r="N189" s="2" t="n"/>
      <c r="O189" s="2" t="n"/>
      <c r="P189" s="2" t="n"/>
      <c r="Q189" s="2" t="n"/>
      <c r="R189" s="2" t="n"/>
      <c r="S189" s="2" t="n"/>
      <c r="T189" s="45">
        <f>IF(COUNT(B189:C189)=0,"",SUM(B189:C189))</f>
        <v/>
      </c>
      <c r="U189" s="45">
        <f>IF(COUNT(D189:G189)=0,"",SUM(D189:G189))</f>
        <v/>
      </c>
      <c r="V189" s="45">
        <f>IF(COUNT(H189:K189)=0,"",SUM(H189:K189))</f>
        <v/>
      </c>
      <c r="W189" s="45">
        <f>IF(COUNT(L189:O189)=0,"",SUM(L189:O189))</f>
        <v/>
      </c>
      <c r="X189" s="45">
        <f>IF(COUNT(P189:Q189)=0,"",SUM(P189:Q189))</f>
        <v/>
      </c>
    </row>
    <row r="190">
      <c r="A190" s="3" t="inlineStr">
        <is>
          <t>TOTAL</t>
        </is>
      </c>
      <c r="B190" s="34">
        <f>SUM(B187:B189)</f>
        <v/>
      </c>
      <c r="C190" s="34">
        <f>SUM(C187:C189)</f>
        <v/>
      </c>
      <c r="D190" s="34">
        <f>SUM(D187:D189)</f>
        <v/>
      </c>
      <c r="E190" s="34">
        <f>SUM(E187:E189)</f>
        <v/>
      </c>
      <c r="F190" s="34">
        <f>SUM(F187:F189)</f>
        <v/>
      </c>
      <c r="G190" s="34">
        <f>SUM(G187:G189)</f>
        <v/>
      </c>
      <c r="H190" s="34">
        <f>SUM(H187:H189)</f>
        <v/>
      </c>
      <c r="I190" s="34">
        <f>SUM(I187:I189)</f>
        <v/>
      </c>
      <c r="J190" s="2" t="n"/>
      <c r="K190" s="2" t="n"/>
      <c r="L190" s="2" t="n"/>
      <c r="M190" s="2" t="n"/>
      <c r="N190" s="2" t="n"/>
      <c r="O190" s="2" t="n"/>
      <c r="P190" s="2" t="n"/>
      <c r="Q190" s="2" t="n"/>
      <c r="R190" s="2" t="n"/>
      <c r="S190" s="2" t="n"/>
      <c r="T190" s="46">
        <f>IF(COUNT(B190:C190)=0,"",SUM(B190:C190))</f>
        <v/>
      </c>
      <c r="U190" s="46">
        <f>IF(COUNT(D190:G190)=0,"",SUM(D190:G190))</f>
        <v/>
      </c>
      <c r="V190" s="46">
        <f>IF(COUNT(H190:K190)=0,"",SUM(H190:K190))</f>
        <v/>
      </c>
      <c r="W190" s="46">
        <f>IF(COUNT(L190:O190)=0,"",SUM(L190:O190))</f>
        <v/>
      </c>
      <c r="X190" s="46">
        <f>IF(COUNT(P190:Q190)=0,"",SUM(P190:Q190))</f>
        <v/>
      </c>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row>
    <row r="192">
      <c r="A192" s="3" t="inlineStr">
        <is>
          <t xml:space="preserve">   ↳ Segment OP (factbook 営業利益, 億)</t>
        </is>
      </c>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row>
    <row r="193">
      <c r="A193" s="2" t="inlineStr">
        <is>
          <t>Tires OP</t>
        </is>
      </c>
      <c r="B193" s="2" t="n"/>
      <c r="C193" s="2" t="n"/>
      <c r="D193" s="2" t="n"/>
      <c r="E193" s="2" t="n"/>
      <c r="F193" s="2" t="n"/>
      <c r="G193" s="2" t="n"/>
      <c r="H193" s="2" t="n"/>
      <c r="I193" s="2" t="n"/>
      <c r="J193" s="2" t="n"/>
      <c r="K193" s="2" t="n"/>
      <c r="L193" s="2" t="n"/>
      <c r="M193" s="2" t="n"/>
      <c r="N193" s="2" t="n"/>
      <c r="O193" s="2" t="n"/>
      <c r="P193" s="2" t="n"/>
      <c r="Q193" s="2" t="n"/>
      <c r="R193" s="2" t="n"/>
      <c r="S193" s="2" t="n"/>
      <c r="T193" s="45">
        <f>IF(COUNT(B193:C193)=0,"",SUM(B193:C193))</f>
        <v/>
      </c>
      <c r="U193" s="45">
        <f>IF(COUNT(D193:G193)=0,"",SUM(D193:G193))</f>
        <v/>
      </c>
      <c r="V193" s="45">
        <f>IF(COUNT(H193:K193)=0,"",SUM(H193:K193))</f>
        <v/>
      </c>
      <c r="W193" s="45">
        <f>IF(COUNT(L193:O193)=0,"",SUM(L193:O193))</f>
        <v/>
      </c>
      <c r="X193" s="45">
        <f>IF(COUNT(P193:Q193)=0,"",SUM(P193:Q193))</f>
        <v/>
      </c>
    </row>
    <row r="194">
      <c r="A194" s="2" t="inlineStr">
        <is>
          <t>Sports OP</t>
        </is>
      </c>
      <c r="B194" s="2" t="n"/>
      <c r="C194" s="2" t="n"/>
      <c r="D194" s="2" t="n"/>
      <c r="E194" s="2" t="n"/>
      <c r="F194" s="2" t="n"/>
      <c r="G194" s="2" t="n"/>
      <c r="H194" s="2" t="n"/>
      <c r="I194" s="2" t="n"/>
      <c r="J194" s="2" t="n"/>
      <c r="K194" s="2" t="n"/>
      <c r="L194" s="2" t="n"/>
      <c r="M194" s="2" t="n"/>
      <c r="N194" s="2" t="n"/>
      <c r="O194" s="2" t="n"/>
      <c r="P194" s="2" t="n"/>
      <c r="Q194" s="2" t="n"/>
      <c r="R194" s="2" t="n"/>
      <c r="S194" s="2" t="n"/>
      <c r="T194" s="45">
        <f>IF(COUNT(B194:C194)=0,"",SUM(B194:C194))</f>
        <v/>
      </c>
      <c r="U194" s="45">
        <f>IF(COUNT(D194:G194)=0,"",SUM(D194:G194))</f>
        <v/>
      </c>
      <c r="V194" s="45">
        <f>IF(COUNT(H194:K194)=0,"",SUM(H194:K194))</f>
        <v/>
      </c>
      <c r="W194" s="45">
        <f>IF(COUNT(L194:O194)=0,"",SUM(L194:O194))</f>
        <v/>
      </c>
      <c r="X194" s="45">
        <f>IF(COUNT(P194:Q194)=0,"",SUM(P194:Q194))</f>
        <v/>
      </c>
    </row>
    <row r="195">
      <c r="A195" s="2" t="inlineStr">
        <is>
          <t>IndustrialAndOtherProducts OP</t>
        </is>
      </c>
      <c r="B195" s="2" t="n"/>
      <c r="C195" s="2" t="n"/>
      <c r="D195" s="2" t="n"/>
      <c r="E195" s="2" t="n"/>
      <c r="F195" s="2" t="n"/>
      <c r="G195" s="2" t="n"/>
      <c r="H195" s="2" t="n"/>
      <c r="I195" s="2" t="n"/>
      <c r="J195" s="2" t="n"/>
      <c r="K195" s="2" t="n"/>
      <c r="L195" s="2" t="n"/>
      <c r="M195" s="2" t="n"/>
      <c r="N195" s="2" t="n"/>
      <c r="O195" s="2" t="n"/>
      <c r="P195" s="2" t="n"/>
      <c r="Q195" s="2" t="n"/>
      <c r="R195" s="2" t="n"/>
      <c r="S195" s="2" t="n"/>
      <c r="T195" s="45">
        <f>IF(COUNT(B195:C195)=0,"",SUM(B195:C195))</f>
        <v/>
      </c>
      <c r="U195" s="45">
        <f>IF(COUNT(D195:G195)=0,"",SUM(D195:G195))</f>
        <v/>
      </c>
      <c r="V195" s="45">
        <f>IF(COUNT(H195:K195)=0,"",SUM(H195:K195))</f>
        <v/>
      </c>
      <c r="W195" s="45">
        <f>IF(COUNT(L195:O195)=0,"",SUM(L195:O195))</f>
        <v/>
      </c>
      <c r="X195" s="45">
        <f>IF(COUNT(P195:Q195)=0,"",SUM(P195:Q195))</f>
        <v/>
      </c>
    </row>
    <row r="196">
      <c r="A196" s="3" t="inlineStr">
        <is>
          <t>OP TOTAL (= consolidated)</t>
        </is>
      </c>
      <c r="B196" s="34">
        <f>SUM(B193:B195)</f>
        <v/>
      </c>
      <c r="C196" s="34">
        <f>SUM(C193:C195)</f>
        <v/>
      </c>
      <c r="D196" s="34">
        <f>SUM(D193:D195)</f>
        <v/>
      </c>
      <c r="E196" s="34">
        <f>SUM(E193:E195)</f>
        <v/>
      </c>
      <c r="F196" s="34">
        <f>SUM(F193:F195)</f>
        <v/>
      </c>
      <c r="G196" s="34">
        <f>SUM(G193:G195)</f>
        <v/>
      </c>
      <c r="H196" s="34">
        <f>SUM(H193:H195)</f>
        <v/>
      </c>
      <c r="I196" s="34">
        <f>SUM(I193:I195)</f>
        <v/>
      </c>
      <c r="J196" s="2" t="n"/>
      <c r="K196" s="2" t="n"/>
      <c r="L196" s="2" t="n"/>
      <c r="M196" s="2" t="n"/>
      <c r="N196" s="2" t="n"/>
      <c r="O196" s="2" t="n"/>
      <c r="P196" s="2" t="n"/>
      <c r="Q196" s="2" t="n"/>
      <c r="R196" s="2" t="n"/>
      <c r="S196" s="2" t="n"/>
      <c r="T196" s="46">
        <f>IF(COUNT(B196:C196)=0,"",SUM(B196:C196))</f>
        <v/>
      </c>
      <c r="U196" s="46">
        <f>IF(COUNT(D196:G196)=0,"",SUM(D196:G196))</f>
        <v/>
      </c>
      <c r="V196" s="46">
        <f>IF(COUNT(H196:K196)=0,"",SUM(H196:K196))</f>
        <v/>
      </c>
      <c r="W196" s="46">
        <f>IF(COUNT(L196:O196)=0,"",SUM(L196:O196))</f>
        <v/>
      </c>
      <c r="X196" s="46">
        <f>IF(COUNT(P196:Q196)=0,"",SUM(P196:Q196))</f>
        <v/>
      </c>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row>
    <row r="198">
      <c r="A198" s="42" t="inlineStr">
        <is>
          <t>4. Sales by Region (億円)</t>
        </is>
      </c>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row>
    <row r="199">
      <c r="A199" s="6" t="inlineStr"/>
      <c r="B199" s="43" t="inlineStr">
        <is>
          <t>FY24Q3</t>
        </is>
      </c>
      <c r="C199" s="43" t="inlineStr">
        <is>
          <t>FY24Q4</t>
        </is>
      </c>
      <c r="D199" s="43" t="inlineStr">
        <is>
          <t>FY25Q1</t>
        </is>
      </c>
      <c r="E199" s="43" t="inlineStr">
        <is>
          <t>FY25Q2</t>
        </is>
      </c>
      <c r="F199" s="43" t="inlineStr">
        <is>
          <t>FY25Q3</t>
        </is>
      </c>
      <c r="G199" s="43" t="inlineStr">
        <is>
          <t>FY25Q4</t>
        </is>
      </c>
      <c r="H199" s="43" t="inlineStr">
        <is>
          <t>FY26Q1</t>
        </is>
      </c>
      <c r="I199" s="43" t="inlineStr">
        <is>
          <t>FY26Q2</t>
        </is>
      </c>
      <c r="J199" s="2" t="n"/>
      <c r="K199" s="2" t="n"/>
      <c r="L199" s="2" t="n"/>
      <c r="M199" s="2" t="n"/>
      <c r="N199" s="2" t="n"/>
      <c r="O199" s="2" t="n"/>
      <c r="P199" s="2" t="n"/>
      <c r="Q199" s="2" t="n"/>
      <c r="R199" s="2" t="n"/>
      <c r="S199" s="2" t="n"/>
      <c r="T199" s="43" t="inlineStr">
        <is>
          <t>FY24</t>
        </is>
      </c>
      <c r="U199" s="43" t="inlineStr">
        <is>
          <t>FY25</t>
        </is>
      </c>
      <c r="V199" s="44" t="inlineStr">
        <is>
          <t>FY26</t>
        </is>
      </c>
      <c r="W199" s="2" t="n"/>
      <c r="X199" s="2" t="n"/>
    </row>
    <row r="200">
      <c r="A200" s="2" t="inlineStr">
        <is>
          <t>日本</t>
        </is>
      </c>
      <c r="B200" s="2" t="n"/>
      <c r="C200" s="2" t="n"/>
      <c r="D200" s="2" t="n"/>
      <c r="E200" s="2" t="n"/>
      <c r="F200" s="2" t="n"/>
      <c r="G200" s="2" t="n"/>
      <c r="H200" s="2" t="n"/>
      <c r="I200" s="2" t="n"/>
      <c r="J200" s="2" t="n"/>
      <c r="K200" s="2" t="n"/>
      <c r="L200" s="2" t="n"/>
      <c r="M200" s="2" t="n"/>
      <c r="N200" s="2" t="n"/>
      <c r="O200" s="2" t="n"/>
      <c r="P200" s="2" t="n"/>
      <c r="Q200" s="2" t="n"/>
      <c r="R200" s="2" t="n"/>
      <c r="S200" s="2" t="n"/>
      <c r="T200" s="45">
        <f>IF(COUNT(B200:C200)=0,"",SUM(B200:C200))</f>
        <v/>
      </c>
      <c r="U200" s="45">
        <f>IF(COUNT(D200:G200)=0,"",SUM(D200:G200))</f>
        <v/>
      </c>
      <c r="V200" s="45">
        <f>IF(COUNT(H200:K200)=0,"",SUM(H200:K200))</f>
        <v/>
      </c>
      <c r="W200" s="45">
        <f>IF(COUNT(L200:O200)=0,"",SUM(L200:O200))</f>
        <v/>
      </c>
      <c r="X200" s="45">
        <f>IF(COUNT(P200:Q200)=0,"",SUM(P200:Q200))</f>
        <v/>
      </c>
    </row>
    <row r="201">
      <c r="A201" s="2" t="inlineStr">
        <is>
          <t>北米</t>
        </is>
      </c>
      <c r="B201" s="2" t="n"/>
      <c r="C201" s="2" t="n"/>
      <c r="D201" s="2" t="n"/>
      <c r="E201" s="2" t="n"/>
      <c r="F201" s="2" t="n"/>
      <c r="G201" s="2" t="n"/>
      <c r="H201" s="2" t="n"/>
      <c r="I201" s="2" t="n"/>
      <c r="J201" s="2" t="n"/>
      <c r="K201" s="2" t="n"/>
      <c r="L201" s="2" t="n"/>
      <c r="M201" s="2" t="n"/>
      <c r="N201" s="2" t="n"/>
      <c r="O201" s="2" t="n"/>
      <c r="P201" s="2" t="n"/>
      <c r="Q201" s="2" t="n"/>
      <c r="R201" s="2" t="n"/>
      <c r="S201" s="2" t="n"/>
      <c r="T201" s="45">
        <f>IF(COUNT(B201:C201)=0,"",SUM(B201:C201))</f>
        <v/>
      </c>
      <c r="U201" s="45">
        <f>IF(COUNT(D201:G201)=0,"",SUM(D201:G201))</f>
        <v/>
      </c>
      <c r="V201" s="45">
        <f>IF(COUNT(H201:K201)=0,"",SUM(H201:K201))</f>
        <v/>
      </c>
      <c r="W201" s="45">
        <f>IF(COUNT(L201:O201)=0,"",SUM(L201:O201))</f>
        <v/>
      </c>
      <c r="X201" s="45">
        <f>IF(COUNT(P201:Q201)=0,"",SUM(P201:Q201))</f>
        <v/>
      </c>
    </row>
    <row r="202">
      <c r="A202" s="2" t="inlineStr">
        <is>
          <t>欧州</t>
        </is>
      </c>
      <c r="B202" s="2" t="n"/>
      <c r="C202" s="2" t="n"/>
      <c r="D202" s="2" t="n"/>
      <c r="E202" s="2" t="n"/>
      <c r="F202" s="2" t="n"/>
      <c r="G202" s="2" t="n"/>
      <c r="H202" s="2" t="n"/>
      <c r="I202" s="2" t="n"/>
      <c r="J202" s="2" t="n"/>
      <c r="K202" s="2" t="n"/>
      <c r="L202" s="2" t="n"/>
      <c r="M202" s="2" t="n"/>
      <c r="N202" s="2" t="n"/>
      <c r="O202" s="2" t="n"/>
      <c r="P202" s="2" t="n"/>
      <c r="Q202" s="2" t="n"/>
      <c r="R202" s="2" t="n"/>
      <c r="S202" s="2" t="n"/>
      <c r="T202" s="45">
        <f>IF(COUNT(B202:C202)=0,"",SUM(B202:C202))</f>
        <v/>
      </c>
      <c r="U202" s="45">
        <f>IF(COUNT(D202:G202)=0,"",SUM(D202:G202))</f>
        <v/>
      </c>
      <c r="V202" s="45">
        <f>IF(COUNT(H202:K202)=0,"",SUM(H202:K202))</f>
        <v/>
      </c>
      <c r="W202" s="45">
        <f>IF(COUNT(L202:O202)=0,"",SUM(L202:O202))</f>
        <v/>
      </c>
      <c r="X202" s="45">
        <f>IF(COUNT(P202:Q202)=0,"",SUM(P202:Q202))</f>
        <v/>
      </c>
    </row>
    <row r="203">
      <c r="A203" s="2" t="inlineStr">
        <is>
          <t>アジア</t>
        </is>
      </c>
      <c r="B203" s="2" t="n"/>
      <c r="C203" s="2" t="n"/>
      <c r="D203" s="2" t="n"/>
      <c r="E203" s="2" t="n"/>
      <c r="F203" s="2" t="n"/>
      <c r="G203" s="2" t="n"/>
      <c r="H203" s="2" t="n"/>
      <c r="I203" s="2" t="n"/>
      <c r="J203" s="2" t="n"/>
      <c r="K203" s="2" t="n"/>
      <c r="L203" s="2" t="n"/>
      <c r="M203" s="2" t="n"/>
      <c r="N203" s="2" t="n"/>
      <c r="O203" s="2" t="n"/>
      <c r="P203" s="2" t="n"/>
      <c r="Q203" s="2" t="n"/>
      <c r="R203" s="2" t="n"/>
      <c r="S203" s="2" t="n"/>
      <c r="T203" s="45">
        <f>IF(COUNT(B203:C203)=0,"",SUM(B203:C203))</f>
        <v/>
      </c>
      <c r="U203" s="45">
        <f>IF(COUNT(D203:G203)=0,"",SUM(D203:G203))</f>
        <v/>
      </c>
      <c r="V203" s="45">
        <f>IF(COUNT(H203:K203)=0,"",SUM(H203:K203))</f>
        <v/>
      </c>
      <c r="W203" s="45">
        <f>IF(COUNT(L203:O203)=0,"",SUM(L203:O203))</f>
        <v/>
      </c>
      <c r="X203" s="45">
        <f>IF(COUNT(P203:Q203)=0,"",SUM(P203:Q203))</f>
        <v/>
      </c>
    </row>
    <row r="204">
      <c r="A204" s="2" t="inlineStr">
        <is>
          <t>その他</t>
        </is>
      </c>
      <c r="B204" s="2" t="n"/>
      <c r="C204" s="2" t="n"/>
      <c r="D204" s="2" t="n"/>
      <c r="E204" s="2" t="n"/>
      <c r="F204" s="2" t="n"/>
      <c r="G204" s="2" t="n"/>
      <c r="H204" s="2" t="n"/>
      <c r="I204" s="2" t="n"/>
      <c r="J204" s="2" t="n"/>
      <c r="K204" s="2" t="n"/>
      <c r="L204" s="2" t="n"/>
      <c r="M204" s="2" t="n"/>
      <c r="N204" s="2" t="n"/>
      <c r="O204" s="2" t="n"/>
      <c r="P204" s="2" t="n"/>
      <c r="Q204" s="2" t="n"/>
      <c r="R204" s="2" t="n"/>
      <c r="S204" s="2" t="n"/>
      <c r="T204" s="45">
        <f>IF(COUNT(B204:C204)=0,"",SUM(B204:C204))</f>
        <v/>
      </c>
      <c r="U204" s="45">
        <f>IF(COUNT(D204:G204)=0,"",SUM(D204:G204))</f>
        <v/>
      </c>
      <c r="V204" s="45">
        <f>IF(COUNT(H204:K204)=0,"",SUM(H204:K204))</f>
        <v/>
      </c>
      <c r="W204" s="45">
        <f>IF(COUNT(L204:O204)=0,"",SUM(L204:O204))</f>
        <v/>
      </c>
      <c r="X204" s="45">
        <f>IF(COUNT(P204:Q204)=0,"",SUM(P204:Q204))</f>
        <v/>
      </c>
    </row>
    <row r="205">
      <c r="A205" s="3" t="inlineStr">
        <is>
          <t>TOTAL</t>
        </is>
      </c>
      <c r="B205" s="34">
        <f>SUM(B200:B204)</f>
        <v/>
      </c>
      <c r="C205" s="34">
        <f>SUM(C200:C204)</f>
        <v/>
      </c>
      <c r="D205" s="34">
        <f>SUM(D200:D204)</f>
        <v/>
      </c>
      <c r="E205" s="34">
        <f>SUM(E200:E204)</f>
        <v/>
      </c>
      <c r="F205" s="34">
        <f>SUM(F200:F204)</f>
        <v/>
      </c>
      <c r="G205" s="34">
        <f>SUM(G200:G204)</f>
        <v/>
      </c>
      <c r="H205" s="34">
        <f>SUM(H200:H204)</f>
        <v/>
      </c>
      <c r="I205" s="34">
        <f>SUM(I200:I204)</f>
        <v/>
      </c>
      <c r="J205" s="2" t="n"/>
      <c r="K205" s="2" t="n"/>
      <c r="L205" s="2" t="n"/>
      <c r="M205" s="2" t="n"/>
      <c r="N205" s="2" t="n"/>
      <c r="O205" s="2" t="n"/>
      <c r="P205" s="2" t="n"/>
      <c r="Q205" s="2" t="n"/>
      <c r="R205" s="2" t="n"/>
      <c r="S205" s="2" t="n"/>
      <c r="T205" s="46">
        <f>IF(COUNT(B205:C205)=0,"",SUM(B205:C205))</f>
        <v/>
      </c>
      <c r="U205" s="46">
        <f>IF(COUNT(D205:G205)=0,"",SUM(D205:G205))</f>
        <v/>
      </c>
      <c r="V205" s="46">
        <f>IF(COUNT(H205:K205)=0,"",SUM(H205:K205))</f>
        <v/>
      </c>
      <c r="W205" s="46">
        <f>IF(COUNT(L205:O205)=0,"",SUM(L205:O205))</f>
        <v/>
      </c>
      <c r="X205" s="46">
        <f>IF(COUNT(P205:Q205)=0,"",SUM(P205:Q205))</f>
        <v/>
      </c>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row>
    <row r="207">
      <c r="A207" s="42" t="inlineStr">
        <is>
          <t>6. Margin Assumptions (OP = Sales × per-Q consolidated OPM)</t>
        </is>
      </c>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row>
    <row r="208">
      <c r="A208" s="3" t="inlineStr">
        <is>
          <t>Per-Segment GPM (reference)</t>
        </is>
      </c>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row>
    <row r="209">
      <c r="A209" s="6" t="inlineStr">
        <is>
          <t>Segment</t>
        </is>
      </c>
      <c r="B209" s="6" t="inlineStr">
        <is>
          <t>GPM</t>
        </is>
      </c>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row>
    <row r="210">
      <c r="A210" s="2" t="inlineStr">
        <is>
          <t>Tires</t>
        </is>
      </c>
      <c r="B210" s="47" t="n">
        <v>0.31</v>
      </c>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row>
    <row r="211">
      <c r="A211" s="2" t="inlineStr">
        <is>
          <t>Sports</t>
        </is>
      </c>
      <c r="B211" s="47" t="n">
        <v>0.28</v>
      </c>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row>
    <row r="212">
      <c r="A212" s="2" t="inlineStr">
        <is>
          <t>IndustrialAndOtherProducts</t>
        </is>
      </c>
      <c r="B212" s="47" t="n">
        <v>0.26</v>
      </c>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row>
    <row r="214">
      <c r="A214" s="3" t="inlineStr">
        <is>
          <t>Consolidated SG&amp;A / Sales</t>
        </is>
      </c>
      <c r="B214" s="47" t="n">
        <v>0.24</v>
      </c>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row>
  </sheetData>
  <dataValidations count="1">
    <dataValidation sqref="B4" showDropDown="0" showInputMessage="0" showErrorMessage="0" allowBlank="0" type="list">
      <formula1>"1,2,3"</formula1>
    </dataValidation>
  </dataValidations>
  <pageMargins left="0.75" right="0.75" top="1" bottom="1" header="0.5" footer="0.5"/>
</worksheet>
</file>

<file path=xl/worksheets/sheet2.xml><?xml version="1.0" encoding="utf-8"?>
<worksheet xmlns="http://schemas.openxmlformats.org/spreadsheetml/2006/main">
  <sheetPr>
    <tabColor rgb="001F3A5F"/>
    <outlinePr summaryBelow="1" summaryRight="1"/>
    <pageSetUpPr/>
  </sheetPr>
  <dimension ref="A1:AA10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3" customWidth="1" min="20" max="20"/>
    <col width="13" customWidth="1" min="21" max="21"/>
    <col width="13" customWidth="1" min="22" max="22"/>
    <col width="13" customWidth="1" min="23" max="23"/>
    <col width="13" customWidth="1" min="24" max="24"/>
    <col width="13" customWidth="1" min="25" max="25"/>
    <col width="14" customWidth="1" min="26" max="26"/>
    <col width="48" customWidth="1" min="27" max="27"/>
  </cols>
  <sheetData>
    <row r="1">
      <c r="A1" s="48" t="inlineStr">
        <is>
          <t>P&amp;L (億円, EPS in JPY) — BLUE=actual/input, BLACK=formula, GREEN=cross-sheet, ORANGE=guide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6" t="inlineStr">
        <is>
          <t>Line Item</t>
        </is>
      </c>
      <c r="B3" s="43" t="inlineStr">
        <is>
          <t>FY24Q3</t>
        </is>
      </c>
      <c r="C3" s="43" t="inlineStr">
        <is>
          <t>FY24Q4</t>
        </is>
      </c>
      <c r="D3" s="43" t="inlineStr">
        <is>
          <t>FY25Q1</t>
        </is>
      </c>
      <c r="E3" s="43" t="inlineStr">
        <is>
          <t>FY25Q2</t>
        </is>
      </c>
      <c r="F3" s="43" t="inlineStr">
        <is>
          <t>FY25Q3</t>
        </is>
      </c>
      <c r="G3" s="43" t="inlineStr">
        <is>
          <t>FY25Q4</t>
        </is>
      </c>
      <c r="H3" s="43" t="inlineStr">
        <is>
          <t>FY26Q1</t>
        </is>
      </c>
      <c r="I3" s="43" t="inlineStr">
        <is>
          <t>FY26Q2</t>
        </is>
      </c>
      <c r="J3" s="49" t="inlineStr">
        <is>
          <t>FY26Q3</t>
        </is>
      </c>
      <c r="K3" s="49" t="inlineStr">
        <is>
          <t>FY26Q4</t>
        </is>
      </c>
      <c r="L3" s="49" t="inlineStr">
        <is>
          <t>FY27Q1</t>
        </is>
      </c>
      <c r="M3" s="49" t="inlineStr">
        <is>
          <t>FY27Q2</t>
        </is>
      </c>
      <c r="N3" s="49" t="inlineStr">
        <is>
          <t>FY27Q3</t>
        </is>
      </c>
      <c r="O3" s="49" t="inlineStr">
        <is>
          <t>FY27Q4</t>
        </is>
      </c>
      <c r="P3" s="49" t="inlineStr">
        <is>
          <t>FY28Q1</t>
        </is>
      </c>
      <c r="Q3" s="49" t="inlineStr">
        <is>
          <t>FY28Q2</t>
        </is>
      </c>
      <c r="R3" s="2" t="n"/>
      <c r="S3" s="2" t="n"/>
      <c r="T3" s="43" t="inlineStr">
        <is>
          <t>FY24</t>
        </is>
      </c>
      <c r="U3" s="43" t="inlineStr">
        <is>
          <t>FY25</t>
        </is>
      </c>
      <c r="V3" s="44" t="inlineStr">
        <is>
          <t>FY26</t>
        </is>
      </c>
      <c r="W3" s="44" t="inlineStr">
        <is>
          <t>FY27</t>
        </is>
      </c>
      <c r="X3" s="44" t="inlineStr">
        <is>
          <t>FY28</t>
        </is>
      </c>
      <c r="Y3" s="44" t="inlineStr">
        <is>
          <t>FY26 GUIDE</t>
        </is>
      </c>
      <c r="Z3" s="44" t="inlineStr">
        <is>
          <t>Model vs Guide</t>
        </is>
      </c>
      <c r="AA3" s="50" t="inlineStr">
        <is>
          <t>Forecast Formula (plain English)</t>
        </is>
      </c>
    </row>
    <row r="4">
      <c r="A4" s="3" t="inlineStr">
        <is>
          <t>Sales</t>
        </is>
      </c>
      <c r="B4" s="8" t="n">
        <v>2879</v>
      </c>
      <c r="C4" s="8" t="n">
        <v>3369.1</v>
      </c>
      <c r="D4" s="8" t="n">
        <v>2877.8</v>
      </c>
      <c r="E4" s="8" t="n">
        <v>2844.1</v>
      </c>
      <c r="F4" s="8" t="n">
        <v>2894.2</v>
      </c>
      <c r="G4" s="8" t="n">
        <v>3454.5</v>
      </c>
      <c r="H4" s="8" t="n">
        <v>3021.7</v>
      </c>
      <c r="I4" s="8" t="n">
        <v>3176.3</v>
      </c>
      <c r="J4" s="51">
        <f>I4*(1+AVERAGE(Scenarios!F46)/100)</f>
        <v/>
      </c>
      <c r="K4" s="51">
        <f>J4*(1+AVERAGE(Scenarios!G46)/100)</f>
        <v/>
      </c>
      <c r="L4" s="51">
        <f>K4*(1+AVERAGE(Scenarios!H46)/100)</f>
        <v/>
      </c>
      <c r="M4" s="51">
        <f>L4*(1+AVERAGE(Scenarios!I46)/100)</f>
        <v/>
      </c>
      <c r="N4" s="51">
        <f>M4*(1+AVERAGE(Scenarios!J46)/100)</f>
        <v/>
      </c>
      <c r="O4" s="51">
        <f>N4*(1+AVERAGE(Scenarios!K46)/100)</f>
        <v/>
      </c>
      <c r="P4" s="51">
        <f>O4*(1+AVERAGE(Scenarios!L46)/100)</f>
        <v/>
      </c>
      <c r="Q4" s="51">
        <f>P4*(1+AVERAGE(Scenarios!M46)/100)</f>
        <v/>
      </c>
      <c r="R4" s="2" t="n"/>
      <c r="S4" s="2" t="n"/>
      <c r="T4" s="46">
        <f>IF(COUNTBLANK(B4:C4)&gt;0,"",SUM(B4:C4))</f>
        <v/>
      </c>
      <c r="U4" s="46">
        <f>IF(COUNTBLANK(D4:G4)&gt;0,"",SUM(D4:G4))</f>
        <v/>
      </c>
      <c r="V4" s="46">
        <f>IF(COUNTBLANK(H4:K4)&gt;0,"",SUM(H4:K4))</f>
        <v/>
      </c>
      <c r="W4" s="46">
        <f>IF(COUNTBLANK(L4:O4)&gt;0,"",SUM(L4:O4))</f>
        <v/>
      </c>
      <c r="X4" s="46">
        <f>IF(COUNTBLANK(P4:Q4)&gt;0,"",SUM(P4:Q4))</f>
        <v/>
      </c>
      <c r="Y4" s="8" t="n">
        <v>13300</v>
      </c>
      <c r="Z4" s="52">
        <f>(J4+K4+L4+M4)/Y4-1</f>
        <v/>
      </c>
      <c r="AA4" s="53" t="inlineStr">
        <is>
          <t>prior Sales × QoQ growth  (mean of cfg.order_growth_qoq across segments)</t>
        </is>
      </c>
    </row>
    <row r="5">
      <c r="A5" s="3" t="inlineStr">
        <is>
          <t xml:space="preserve">  COGS</t>
        </is>
      </c>
      <c r="B5" s="33">
        <f>B4-B6</f>
        <v/>
      </c>
      <c r="C5" s="33">
        <f>C4-C6</f>
        <v/>
      </c>
      <c r="D5" s="33">
        <f>D4-D6</f>
        <v/>
      </c>
      <c r="E5" s="33">
        <f>E4-E6</f>
        <v/>
      </c>
      <c r="F5" s="33">
        <f>F4-F6</f>
        <v/>
      </c>
      <c r="G5" s="33">
        <f>G4-G6</f>
        <v/>
      </c>
      <c r="H5" s="33">
        <f>H4-H6</f>
        <v/>
      </c>
      <c r="I5" s="33">
        <f>I4-I6</f>
        <v/>
      </c>
      <c r="J5" s="45">
        <f>J4-J6</f>
        <v/>
      </c>
      <c r="K5" s="45">
        <f>K4-K6</f>
        <v/>
      </c>
      <c r="L5" s="45">
        <f>L4-L6</f>
        <v/>
      </c>
      <c r="M5" s="45">
        <f>M4-M6</f>
        <v/>
      </c>
      <c r="N5" s="45">
        <f>N4-N6</f>
        <v/>
      </c>
      <c r="O5" s="45">
        <f>O4-O6</f>
        <v/>
      </c>
      <c r="P5" s="45">
        <f>P4-P6</f>
        <v/>
      </c>
      <c r="Q5" s="45">
        <f>Q4-Q6</f>
        <v/>
      </c>
      <c r="R5" s="2" t="n"/>
      <c r="S5" s="2" t="n"/>
      <c r="T5" s="45">
        <f>IF(COUNTBLANK(B5:C5)&gt;0,"",SUM(B5:C5))</f>
        <v/>
      </c>
      <c r="U5" s="45">
        <f>IF(COUNTBLANK(D5:G5)&gt;0,"",SUM(D5:G5))</f>
        <v/>
      </c>
      <c r="V5" s="45">
        <f>IF(COUNTBLANK(H5:K5)&gt;0,"",SUM(H5:K5))</f>
        <v/>
      </c>
      <c r="W5" s="45">
        <f>IF(COUNTBLANK(L5:O5)&gt;0,"",SUM(L5:O5))</f>
        <v/>
      </c>
      <c r="X5" s="45">
        <f>IF(COUNTBLANK(P5:Q5)&gt;0,"",SUM(P5:Q5))</f>
        <v/>
      </c>
      <c r="Y5" s="2" t="n"/>
      <c r="Z5" s="2" t="n"/>
      <c r="AA5" s="53" t="inlineStr">
        <is>
          <t>Sales − Gross Profit</t>
        </is>
      </c>
    </row>
    <row r="6">
      <c r="A6" s="3" t="inlineStr">
        <is>
          <t xml:space="preserve">  Gross Profit</t>
        </is>
      </c>
      <c r="B6" s="8" t="n">
        <v>833.3</v>
      </c>
      <c r="C6" s="8" t="n">
        <v>982</v>
      </c>
      <c r="D6" s="8" t="n">
        <v>836.8</v>
      </c>
      <c r="E6" s="8" t="n">
        <v>825.5</v>
      </c>
      <c r="F6" s="8" t="n">
        <v>864.3</v>
      </c>
      <c r="G6" s="8" t="n">
        <v>1157</v>
      </c>
      <c r="H6" s="8" t="n">
        <v>936.3</v>
      </c>
      <c r="I6" s="8" t="n">
        <v>1005.6</v>
      </c>
      <c r="J6" s="45">
        <f>J9+J8</f>
        <v/>
      </c>
      <c r="K6" s="45">
        <f>K9+K8</f>
        <v/>
      </c>
      <c r="L6" s="45">
        <f>L9+L8</f>
        <v/>
      </c>
      <c r="M6" s="45">
        <f>M9+M8</f>
        <v/>
      </c>
      <c r="N6" s="45">
        <f>N9+N8</f>
        <v/>
      </c>
      <c r="O6" s="45">
        <f>O9+O8</f>
        <v/>
      </c>
      <c r="P6" s="45">
        <f>P9+P8</f>
        <v/>
      </c>
      <c r="Q6" s="45">
        <f>Q9+Q8</f>
        <v/>
      </c>
      <c r="R6" s="2" t="n"/>
      <c r="S6" s="2" t="n"/>
      <c r="T6" s="45">
        <f>IF(COUNTBLANK(B6:C6)&gt;0,"",SUM(B6:C6))</f>
        <v/>
      </c>
      <c r="U6" s="45">
        <f>IF(COUNTBLANK(D6:G6)&gt;0,"",SUM(D6:G6))</f>
        <v/>
      </c>
      <c r="V6" s="45">
        <f>IF(COUNTBLANK(H6:K6)&gt;0,"",SUM(H6:K6))</f>
        <v/>
      </c>
      <c r="W6" s="45">
        <f>IF(COUNTBLANK(L6:O6)&gt;0,"",SUM(L6:O6))</f>
        <v/>
      </c>
      <c r="X6" s="45">
        <f>IF(COUNTBLANK(P6:Q6)&gt;0,"",SUM(P6:Q6))</f>
        <v/>
      </c>
      <c r="Y6" s="2" t="n"/>
      <c r="Z6" s="2" t="n"/>
      <c r="AA6" s="53" t="inlineStr">
        <is>
          <t>OP + SG&amp;A  (OPM-driven: GP is derived, not an input)</t>
        </is>
      </c>
    </row>
    <row r="7">
      <c r="A7" s="2" t="inlineStr">
        <is>
          <t xml:space="preserve">    GPM %</t>
        </is>
      </c>
      <c r="B7" s="10">
        <f>B6/B4*100</f>
        <v/>
      </c>
      <c r="C7" s="10">
        <f>C6/C4*100</f>
        <v/>
      </c>
      <c r="D7" s="10">
        <f>D6/D4*100</f>
        <v/>
      </c>
      <c r="E7" s="10">
        <f>E6/E4*100</f>
        <v/>
      </c>
      <c r="F7" s="10">
        <f>F6/F4*100</f>
        <v/>
      </c>
      <c r="G7" s="10">
        <f>G6/G4*100</f>
        <v/>
      </c>
      <c r="H7" s="10">
        <f>H6/H4*100</f>
        <v/>
      </c>
      <c r="I7" s="10">
        <f>I6/I4*100</f>
        <v/>
      </c>
      <c r="J7" s="10">
        <f>J6/J4*100</f>
        <v/>
      </c>
      <c r="K7" s="10">
        <f>K6/K4*100</f>
        <v/>
      </c>
      <c r="L7" s="10">
        <f>L6/L4*100</f>
        <v/>
      </c>
      <c r="M7" s="10">
        <f>M6/M4*100</f>
        <v/>
      </c>
      <c r="N7" s="10">
        <f>N6/N4*100</f>
        <v/>
      </c>
      <c r="O7" s="10">
        <f>O6/O4*100</f>
        <v/>
      </c>
      <c r="P7" s="10">
        <f>P6/P4*100</f>
        <v/>
      </c>
      <c r="Q7" s="10">
        <f>Q6/Q4*100</f>
        <v/>
      </c>
      <c r="R7" s="2" t="n"/>
      <c r="S7" s="2" t="n"/>
      <c r="T7" s="54">
        <f>IF(OR(COUNTBLANK(B6:C6)&gt;0,COUNTBLANK(B4:C4)&gt;0),"",SUM(B6:C6)/SUM(B4:C4)*100)</f>
        <v/>
      </c>
      <c r="U7" s="54">
        <f>IF(OR(COUNTBLANK(D6:G6)&gt;0,COUNTBLANK(D4:G4)&gt;0),"",SUM(D6:G6)/SUM(D4:G4)*100)</f>
        <v/>
      </c>
      <c r="V7" s="54">
        <f>IF(OR(COUNTBLANK(H6:K6)&gt;0,COUNTBLANK(H4:K4)&gt;0),"",SUM(H6:K6)/SUM(H4:K4)*100)</f>
        <v/>
      </c>
      <c r="W7" s="54">
        <f>IF(OR(COUNTBLANK(L6:O6)&gt;0,COUNTBLANK(L4:O4)&gt;0),"",SUM(L6:O6)/SUM(L4:O4)*100)</f>
        <v/>
      </c>
      <c r="X7" s="54">
        <f>IF(OR(COUNTBLANK(P6:Q6)&gt;0,COUNTBLANK(P4:Q4)&gt;0),"",SUM(P6:Q6)/SUM(P4:Q4)*100)</f>
        <v/>
      </c>
      <c r="Y7" s="2" t="n"/>
      <c r="Z7" s="2" t="n"/>
      <c r="AA7" s="53" t="inlineStr">
        <is>
          <t>Gross Profit ÷ Sales</t>
        </is>
      </c>
    </row>
    <row r="8">
      <c r="A8" s="3" t="inlineStr">
        <is>
          <t xml:space="preserve">  SG&amp;A</t>
        </is>
      </c>
      <c r="B8" s="33">
        <f>B6-B9</f>
        <v/>
      </c>
      <c r="C8" s="33">
        <f>C6-C9</f>
        <v/>
      </c>
      <c r="D8" s="33">
        <f>D6-D9</f>
        <v/>
      </c>
      <c r="E8" s="33">
        <f>E6-E9</f>
        <v/>
      </c>
      <c r="F8" s="33">
        <f>F6-F9</f>
        <v/>
      </c>
      <c r="G8" s="33">
        <f>G6-G9</f>
        <v/>
      </c>
      <c r="H8" s="33">
        <f>H6-H9</f>
        <v/>
      </c>
      <c r="I8" s="33">
        <f>I6-I9</f>
        <v/>
      </c>
      <c r="J8" s="45">
        <f>J4*0.24</f>
        <v/>
      </c>
      <c r="K8" s="45">
        <f>K4*0.24</f>
        <v/>
      </c>
      <c r="L8" s="45">
        <f>L4*0.24</f>
        <v/>
      </c>
      <c r="M8" s="45">
        <f>M4*0.24</f>
        <v/>
      </c>
      <c r="N8" s="45">
        <f>N4*0.24</f>
        <v/>
      </c>
      <c r="O8" s="45">
        <f>O4*0.24</f>
        <v/>
      </c>
      <c r="P8" s="45">
        <f>P4*0.24</f>
        <v/>
      </c>
      <c r="Q8" s="45">
        <f>Q4*0.24</f>
        <v/>
      </c>
      <c r="R8" s="2" t="n"/>
      <c r="S8" s="2" t="n"/>
      <c r="T8" s="45">
        <f>IF(COUNTBLANK(B8:C8)&gt;0,"",SUM(B8:C8))</f>
        <v/>
      </c>
      <c r="U8" s="45">
        <f>IF(COUNTBLANK(D8:G8)&gt;0,"",SUM(D8:G8))</f>
        <v/>
      </c>
      <c r="V8" s="45">
        <f>IF(COUNTBLANK(H8:K8)&gt;0,"",SUM(H8:K8))</f>
        <v/>
      </c>
      <c r="W8" s="45">
        <f>IF(COUNTBLANK(L8:O8)&gt;0,"",SUM(L8:O8))</f>
        <v/>
      </c>
      <c r="X8" s="45">
        <f>IF(COUNTBLANK(P8:Q8)&gt;0,"",SUM(P8:Q8))</f>
        <v/>
      </c>
      <c r="Y8" s="2" t="n"/>
      <c r="Z8" s="2" t="n"/>
      <c r="AA8" s="53" t="inlineStr">
        <is>
          <t>Sales × 24.0%  (yaml override (recent run-rate))</t>
        </is>
      </c>
    </row>
    <row r="9">
      <c r="A9" s="3" t="inlineStr">
        <is>
          <t>Operating Profit</t>
        </is>
      </c>
      <c r="B9" s="8" t="n">
        <v>-304.7</v>
      </c>
      <c r="C9" s="8" t="n">
        <v>-3</v>
      </c>
      <c r="D9" s="8" t="n">
        <v>123.2</v>
      </c>
      <c r="E9" s="8" t="n">
        <v>147.2</v>
      </c>
      <c r="F9" s="8" t="n">
        <v>191</v>
      </c>
      <c r="G9" s="8" t="n">
        <v>364.5</v>
      </c>
      <c r="H9" s="8" t="n">
        <v>150.7</v>
      </c>
      <c r="I9" s="8" t="n">
        <v>230.8</v>
      </c>
      <c r="J9" s="55">
        <f>J4*Scenarios!F52/100</f>
        <v/>
      </c>
      <c r="K9" s="55">
        <f>K4*Scenarios!G52/100</f>
        <v/>
      </c>
      <c r="L9" s="55">
        <f>L4*Scenarios!H52/100</f>
        <v/>
      </c>
      <c r="M9" s="55">
        <f>M4*Scenarios!I52/100</f>
        <v/>
      </c>
      <c r="N9" s="55">
        <f>N4*Scenarios!J52/100</f>
        <v/>
      </c>
      <c r="O9" s="55">
        <f>O4*Scenarios!K52/100</f>
        <v/>
      </c>
      <c r="P9" s="55">
        <f>P4*Scenarios!L52/100</f>
        <v/>
      </c>
      <c r="Q9" s="55">
        <f>Q4*Scenarios!M52/100</f>
        <v/>
      </c>
      <c r="R9" s="2" t="n"/>
      <c r="S9" s="2" t="n"/>
      <c r="T9" s="46">
        <f>IF(COUNTBLANK(B9:C9)&gt;0,"",SUM(B9:C9))</f>
        <v/>
      </c>
      <c r="U9" s="46">
        <f>IF(COUNTBLANK(D9:G9)&gt;0,"",SUM(D9:G9))</f>
        <v/>
      </c>
      <c r="V9" s="46">
        <f>IF(COUNTBLANK(H9:K9)&gt;0,"",SUM(H9:K9))</f>
        <v/>
      </c>
      <c r="W9" s="46">
        <f>IF(COUNTBLANK(L9:O9)&gt;0,"",SUM(L9:O9))</f>
        <v/>
      </c>
      <c r="X9" s="46">
        <f>IF(COUNTBLANK(P9:Q9)&gt;0,"",SUM(P9:Q9))</f>
        <v/>
      </c>
      <c r="Y9" s="8" t="n">
        <v>890</v>
      </c>
      <c r="Z9" s="52">
        <f>(J9+K9+L9+M9)/Y9-1</f>
        <v/>
      </c>
      <c r="AA9" s="53" t="inlineStr">
        <is>
          <t>Sales × per-Q consolidated OPM (Drivers)</t>
        </is>
      </c>
    </row>
    <row r="10">
      <c r="A10" s="2" t="inlineStr">
        <is>
          <t xml:space="preserve">  OPM %</t>
        </is>
      </c>
      <c r="B10" s="10">
        <f>B9/B4*100</f>
        <v/>
      </c>
      <c r="C10" s="10">
        <f>C9/C4*100</f>
        <v/>
      </c>
      <c r="D10" s="10">
        <f>D9/D4*100</f>
        <v/>
      </c>
      <c r="E10" s="10">
        <f>E9/E4*100</f>
        <v/>
      </c>
      <c r="F10" s="10">
        <f>F9/F4*100</f>
        <v/>
      </c>
      <c r="G10" s="10">
        <f>G9/G4*100</f>
        <v/>
      </c>
      <c r="H10" s="10">
        <f>H9/H4*100</f>
        <v/>
      </c>
      <c r="I10" s="10">
        <f>I9/I4*100</f>
        <v/>
      </c>
      <c r="J10" s="10">
        <f>J9/J4*100</f>
        <v/>
      </c>
      <c r="K10" s="10">
        <f>K9/K4*100</f>
        <v/>
      </c>
      <c r="L10" s="10">
        <f>L9/L4*100</f>
        <v/>
      </c>
      <c r="M10" s="10">
        <f>M9/M4*100</f>
        <v/>
      </c>
      <c r="N10" s="10">
        <f>N9/N4*100</f>
        <v/>
      </c>
      <c r="O10" s="10">
        <f>O9/O4*100</f>
        <v/>
      </c>
      <c r="P10" s="10">
        <f>P9/P4*100</f>
        <v/>
      </c>
      <c r="Q10" s="10">
        <f>Q9/Q4*100</f>
        <v/>
      </c>
      <c r="R10" s="2" t="n"/>
      <c r="S10" s="2" t="n"/>
      <c r="T10" s="54">
        <f>IF(OR(COUNTBLANK(B9:C9)&gt;0,COUNTBLANK(B4:C4)&gt;0),"",SUM(B9:C9)/SUM(B4:C4)*100)</f>
        <v/>
      </c>
      <c r="U10" s="54">
        <f>IF(OR(COUNTBLANK(D9:G9)&gt;0,COUNTBLANK(D4:G4)&gt;0),"",SUM(D9:G9)/SUM(D4:G4)*100)</f>
        <v/>
      </c>
      <c r="V10" s="54">
        <f>IF(OR(COUNTBLANK(H9:K9)&gt;0,COUNTBLANK(H4:K4)&gt;0),"",SUM(H9:K9)/SUM(H4:K4)*100)</f>
        <v/>
      </c>
      <c r="W10" s="54">
        <f>IF(OR(COUNTBLANK(L9:O9)&gt;0,COUNTBLANK(L4:O4)&gt;0),"",SUM(L9:O9)/SUM(L4:O4)*100)</f>
        <v/>
      </c>
      <c r="X10" s="54">
        <f>IF(OR(COUNTBLANK(P9:Q9)&gt;0,COUNTBLANK(P4:Q4)&gt;0),"",SUM(P9:Q9)/SUM(P4:Q4)*100)</f>
        <v/>
      </c>
      <c r="Y10" s="31" t="n">
        <v>6.7</v>
      </c>
      <c r="Z10" s="10">
        <f>(J9+K9+L9+M9)/(J4+K4+L4+M4)*100-Y10</f>
        <v/>
      </c>
      <c r="AA10" s="53" t="inlineStr">
        <is>
          <t>OP ÷ Sales</t>
        </is>
      </c>
    </row>
    <row r="11">
      <c r="A11" s="3" t="inlineStr">
        <is>
          <t xml:space="preserve">  ± Non-Op / 特別 (net)</t>
        </is>
      </c>
      <c r="B11" s="33">
        <f>B12-B9</f>
        <v/>
      </c>
      <c r="C11" s="33">
        <f>C12-C9</f>
        <v/>
      </c>
      <c r="D11" s="33">
        <f>D12-D9</f>
        <v/>
      </c>
      <c r="E11" s="33">
        <f>E12-E9</f>
        <v/>
      </c>
      <c r="F11" s="33">
        <f>F12-F9</f>
        <v/>
      </c>
      <c r="G11" s="33">
        <f>G12-G9</f>
        <v/>
      </c>
      <c r="H11" s="33">
        <f>H12-H9</f>
        <v/>
      </c>
      <c r="I11" s="33">
        <f>I12-I9</f>
        <v/>
      </c>
      <c r="J11" s="51">
        <f>J9*FS!$B$86/100</f>
        <v/>
      </c>
      <c r="K11" s="51">
        <f>K9*FS!$B$86/100</f>
        <v/>
      </c>
      <c r="L11" s="51">
        <f>L9*FS!$B$86/100</f>
        <v/>
      </c>
      <c r="M11" s="51">
        <f>M9*FS!$B$86/100</f>
        <v/>
      </c>
      <c r="N11" s="51">
        <f>N9*FS!$B$86/100</f>
        <v/>
      </c>
      <c r="O11" s="51">
        <f>O9*FS!$B$86/100</f>
        <v/>
      </c>
      <c r="P11" s="51">
        <f>P9*FS!$B$86/100</f>
        <v/>
      </c>
      <c r="Q11" s="51">
        <f>Q9*FS!$B$86/100</f>
        <v/>
      </c>
      <c r="R11" s="2" t="n"/>
      <c r="S11" s="2" t="n"/>
      <c r="T11" s="45">
        <f>IF(COUNTBLANK(B11:C11)&gt;0,"",SUM(B11:C11))</f>
        <v/>
      </c>
      <c r="U11" s="45">
        <f>IF(COUNTBLANK(D11:G11)&gt;0,"",SUM(D11:G11))</f>
        <v/>
      </c>
      <c r="V11" s="45">
        <f>IF(COUNTBLANK(H11:K11)&gt;0,"",SUM(H11:K11))</f>
        <v/>
      </c>
      <c r="W11" s="45">
        <f>IF(COUNTBLANK(L11:O11)&gt;0,"",SUM(L11:O11))</f>
        <v/>
      </c>
      <c r="X11" s="45">
        <f>IF(COUNTBLANK(P11:Q11)&gt;0,"",SUM(P11:Q11))</f>
        <v/>
      </c>
      <c r="Y11" s="2" t="n"/>
      <c r="Z11" s="2" t="n"/>
      <c r="AA11" s="53" t="inlineStr">
        <is>
          <t>Hist: Pretax−OP (実際 金融/持分法/特別); Fcst: OP × -4.3%</t>
        </is>
      </c>
    </row>
    <row r="12">
      <c r="A12" s="3" t="inlineStr">
        <is>
          <t>Pretax Profit (税前)</t>
        </is>
      </c>
      <c r="B12" s="8" t="n">
        <v>-459.1</v>
      </c>
      <c r="C12" s="8" t="n">
        <v>85.7</v>
      </c>
      <c r="D12" s="8" t="n">
        <v>39.6</v>
      </c>
      <c r="E12" s="8" t="n">
        <v>161.2</v>
      </c>
      <c r="F12" s="8" t="n">
        <v>204</v>
      </c>
      <c r="G12" s="8" t="n">
        <v>373.2</v>
      </c>
      <c r="H12" s="8" t="n">
        <v>146.7</v>
      </c>
      <c r="I12" s="8" t="n">
        <v>230.8</v>
      </c>
      <c r="J12" s="46">
        <f>J9+J11</f>
        <v/>
      </c>
      <c r="K12" s="46">
        <f>K9+K11</f>
        <v/>
      </c>
      <c r="L12" s="46">
        <f>L9+L11</f>
        <v/>
      </c>
      <c r="M12" s="46">
        <f>M9+M11</f>
        <v/>
      </c>
      <c r="N12" s="46">
        <f>N9+N11</f>
        <v/>
      </c>
      <c r="O12" s="46">
        <f>O9+O11</f>
        <v/>
      </c>
      <c r="P12" s="46">
        <f>P9+P11</f>
        <v/>
      </c>
      <c r="Q12" s="46">
        <f>Q9+Q11</f>
        <v/>
      </c>
      <c r="R12" s="2" t="n"/>
      <c r="S12" s="2" t="n"/>
      <c r="T12" s="46">
        <f>IF(COUNTBLANK(B12:C12)&gt;0,"",SUM(B12:C12))</f>
        <v/>
      </c>
      <c r="U12" s="46">
        <f>IF(COUNTBLANK(D12:G12)&gt;0,"",SUM(D12:G12))</f>
        <v/>
      </c>
      <c r="V12" s="46">
        <f>IF(COUNTBLANK(H12:K12)&gt;0,"",SUM(H12:K12))</f>
        <v/>
      </c>
      <c r="W12" s="46">
        <f>IF(COUNTBLANK(L12:O12)&gt;0,"",SUM(L12:O12))</f>
        <v/>
      </c>
      <c r="X12" s="46">
        <f>IF(COUNTBLANK(P12:Q12)&gt;0,"",SUM(P12:Q12))</f>
        <v/>
      </c>
      <c r="Y12" s="2" t="n"/>
      <c r="Z12" s="2" t="n"/>
      <c r="AA12" s="53" t="inlineStr">
        <is>
          <t>Pretax (税前): Hist=disclosed actual; Fcst=OP + Non-Op</t>
        </is>
      </c>
    </row>
    <row r="13">
      <c r="A13" s="2" t="inlineStr">
        <is>
          <t xml:space="preserve">  Pretax M %</t>
        </is>
      </c>
      <c r="B13" s="10">
        <f>B12/B4*100</f>
        <v/>
      </c>
      <c r="C13" s="10">
        <f>C12/C4*100</f>
        <v/>
      </c>
      <c r="D13" s="10">
        <f>D12/D4*100</f>
        <v/>
      </c>
      <c r="E13" s="10">
        <f>E12/E4*100</f>
        <v/>
      </c>
      <c r="F13" s="10">
        <f>F12/F4*100</f>
        <v/>
      </c>
      <c r="G13" s="10">
        <f>G12/G4*100</f>
        <v/>
      </c>
      <c r="H13" s="10">
        <f>H12/H4*100</f>
        <v/>
      </c>
      <c r="I13" s="10">
        <f>I12/I4*100</f>
        <v/>
      </c>
      <c r="J13" s="10">
        <f>J12/J4*100</f>
        <v/>
      </c>
      <c r="K13" s="10">
        <f>K12/K4*100</f>
        <v/>
      </c>
      <c r="L13" s="10">
        <f>L12/L4*100</f>
        <v/>
      </c>
      <c r="M13" s="10">
        <f>M12/M4*100</f>
        <v/>
      </c>
      <c r="N13" s="10">
        <f>N12/N4*100</f>
        <v/>
      </c>
      <c r="O13" s="10">
        <f>O12/O4*100</f>
        <v/>
      </c>
      <c r="P13" s="10">
        <f>P12/P4*100</f>
        <v/>
      </c>
      <c r="Q13" s="10">
        <f>Q12/Q4*100</f>
        <v/>
      </c>
      <c r="R13" s="2" t="n"/>
      <c r="S13" s="2" t="n"/>
      <c r="T13" s="54">
        <f>IF(OR(COUNTBLANK(B12:C12)&gt;0,COUNTBLANK(B4:C4)&gt;0),"",SUM(B12:C12)/SUM(B4:C4)*100)</f>
        <v/>
      </c>
      <c r="U13" s="54">
        <f>IF(OR(COUNTBLANK(D12:G12)&gt;0,COUNTBLANK(D4:G4)&gt;0),"",SUM(D12:G12)/SUM(D4:G4)*100)</f>
        <v/>
      </c>
      <c r="V13" s="54">
        <f>IF(OR(COUNTBLANK(H12:K12)&gt;0,COUNTBLANK(H4:K4)&gt;0),"",SUM(H12:K12)/SUM(H4:K4)*100)</f>
        <v/>
      </c>
      <c r="W13" s="54">
        <f>IF(OR(COUNTBLANK(L12:O12)&gt;0,COUNTBLANK(L4:O4)&gt;0),"",SUM(L12:O12)/SUM(L4:O4)*100)</f>
        <v/>
      </c>
      <c r="X13" s="54">
        <f>IF(OR(COUNTBLANK(P12:Q12)&gt;0,COUNTBLANK(P4:Q4)&gt;0),"",SUM(P12:Q12)/SUM(P4:Q4)*100)</f>
        <v/>
      </c>
      <c r="Y13" s="2" t="n"/>
      <c r="Z13" s="2" t="n"/>
      <c r="AA13" s="53" t="inlineStr">
        <is>
          <t>Pretax ÷ Sales</t>
        </is>
      </c>
    </row>
    <row r="14">
      <c r="A14" s="3" t="inlineStr">
        <is>
          <t xml:space="preserve">  − Income Tax</t>
        </is>
      </c>
      <c r="B14" s="8" t="n">
        <v>-114.2</v>
      </c>
      <c r="C14" s="8" t="n">
        <v>22.8</v>
      </c>
      <c r="D14" s="8" t="n">
        <v>7.7</v>
      </c>
      <c r="E14" s="8" t="n">
        <v>36.5</v>
      </c>
      <c r="F14" s="8" t="n">
        <v>77.7</v>
      </c>
      <c r="G14" s="8" t="n">
        <v>129</v>
      </c>
      <c r="H14" s="8" t="n">
        <v>51</v>
      </c>
      <c r="I14" s="8" t="n">
        <v>50.2</v>
      </c>
      <c r="J14" s="51">
        <f>J12*FS!$B$85/100</f>
        <v/>
      </c>
      <c r="K14" s="51">
        <f>K12*FS!$B$85/100</f>
        <v/>
      </c>
      <c r="L14" s="51">
        <f>L12*FS!$B$85/100</f>
        <v/>
      </c>
      <c r="M14" s="51">
        <f>M12*FS!$B$85/100</f>
        <v/>
      </c>
      <c r="N14" s="51">
        <f>N12*FS!$B$85/100</f>
        <v/>
      </c>
      <c r="O14" s="51">
        <f>O12*FS!$B$85/100</f>
        <v/>
      </c>
      <c r="P14" s="51">
        <f>P12*FS!$B$85/100</f>
        <v/>
      </c>
      <c r="Q14" s="51">
        <f>Q12*FS!$B$85/100</f>
        <v/>
      </c>
      <c r="R14" s="2" t="n"/>
      <c r="S14" s="2" t="n"/>
      <c r="T14" s="45">
        <f>IF(COUNTBLANK(B14:C14)&gt;0,"",SUM(B14:C14))</f>
        <v/>
      </c>
      <c r="U14" s="45">
        <f>IF(COUNTBLANK(D14:G14)&gt;0,"",SUM(D14:G14))</f>
        <v/>
      </c>
      <c r="V14" s="45">
        <f>IF(COUNTBLANK(H14:K14)&gt;0,"",SUM(H14:K14))</f>
        <v/>
      </c>
      <c r="W14" s="45">
        <f>IF(COUNTBLANK(L14:O14)&gt;0,"",SUM(L14:O14))</f>
        <v/>
      </c>
      <c r="X14" s="45">
        <f>IF(COUNTBLANK(P14:Q14)&gt;0,"",SUM(P14:Q14))</f>
        <v/>
      </c>
      <c r="Y14" s="2" t="n"/>
      <c r="Z14" s="2" t="n"/>
      <c r="AA14" s="53" t="inlineStr">
        <is>
          <t>Hist: actual 法人税等; Fcst: Pretax × 31.2% (auto)</t>
        </is>
      </c>
    </row>
    <row r="15">
      <c r="A15" s="2" t="inlineStr">
        <is>
          <t xml:space="preserve">    Tax rate %</t>
        </is>
      </c>
      <c r="B15" s="10">
        <f>IF(B12=0,"",B14/B12*100)</f>
        <v/>
      </c>
      <c r="C15" s="10">
        <f>IF(C12=0,"",C14/C12*100)</f>
        <v/>
      </c>
      <c r="D15" s="10">
        <f>IF(D12=0,"",D14/D12*100)</f>
        <v/>
      </c>
      <c r="E15" s="10">
        <f>IF(E12=0,"",E14/E12*100)</f>
        <v/>
      </c>
      <c r="F15" s="10">
        <f>IF(F12=0,"",F14/F12*100)</f>
        <v/>
      </c>
      <c r="G15" s="10">
        <f>IF(G12=0,"",G14/G12*100)</f>
        <v/>
      </c>
      <c r="H15" s="10">
        <f>IF(H12=0,"",H14/H12*100)</f>
        <v/>
      </c>
      <c r="I15" s="10">
        <f>IF(I12=0,"",I14/I12*100)</f>
        <v/>
      </c>
      <c r="J15" s="56">
        <f>FS!$B$85</f>
        <v/>
      </c>
      <c r="K15" s="56">
        <f>FS!$B$85</f>
        <v/>
      </c>
      <c r="L15" s="56">
        <f>FS!$B$85</f>
        <v/>
      </c>
      <c r="M15" s="56">
        <f>FS!$B$85</f>
        <v/>
      </c>
      <c r="N15" s="56">
        <f>FS!$B$85</f>
        <v/>
      </c>
      <c r="O15" s="56">
        <f>FS!$B$85</f>
        <v/>
      </c>
      <c r="P15" s="56">
        <f>FS!$B$85</f>
        <v/>
      </c>
      <c r="Q15" s="56">
        <f>FS!$B$85</f>
        <v/>
      </c>
      <c r="R15" s="2" t="n"/>
      <c r="S15" s="2" t="n"/>
      <c r="T15" s="54">
        <f>IF(OR(COUNTBLANK(B14:C14)&gt;0,COUNTBLANK(B12:C12)&gt;0),"",SUM(B14:C14)/SUM(B12:C12)*100)</f>
        <v/>
      </c>
      <c r="U15" s="54">
        <f>IF(OR(COUNTBLANK(D14:G14)&gt;0,COUNTBLANK(D12:G12)&gt;0),"",SUM(D14:G14)/SUM(D12:G12)*100)</f>
        <v/>
      </c>
      <c r="V15" s="54">
        <f>IF(OR(COUNTBLANK(H14:K14)&gt;0,COUNTBLANK(H12:K12)&gt;0),"",SUM(H14:K14)/SUM(H12:K12)*100)</f>
        <v/>
      </c>
      <c r="W15" s="54">
        <f>IF(OR(COUNTBLANK(L14:O14)&gt;0,COUNTBLANK(L12:O12)&gt;0),"",SUM(L14:O14)/SUM(L12:O12)*100)</f>
        <v/>
      </c>
      <c r="X15" s="54">
        <f>IF(OR(COUNTBLANK(P14:Q14)&gt;0,COUNTBLANK(P12:Q12)&gt;0),"",SUM(P14:Q14)/SUM(P12:Q12)*100)</f>
        <v/>
      </c>
      <c r="Y15" s="2" t="n"/>
      <c r="Z15" s="2" t="n"/>
      <c r="AA15" s="53" t="inlineStr">
        <is>
          <t>Hist: Income Tax ÷ Pretax (実効税率); Fcst: flat 31.2% assumption (Summary)</t>
        </is>
      </c>
    </row>
    <row r="16">
      <c r="A16" s="3" t="inlineStr">
        <is>
          <t xml:space="preserve">  − Minority Int. (NCI)</t>
        </is>
      </c>
      <c r="B16" s="33">
        <f>B12-B14-B18</f>
        <v/>
      </c>
      <c r="C16" s="33">
        <f>C12-C14-C18</f>
        <v/>
      </c>
      <c r="D16" s="33">
        <f>D12-D14-D18</f>
        <v/>
      </c>
      <c r="E16" s="33">
        <f>E12-E14-E18</f>
        <v/>
      </c>
      <c r="F16" s="33">
        <f>F12-F14-F18</f>
        <v/>
      </c>
      <c r="G16" s="33">
        <f>G12-G14-G18</f>
        <v/>
      </c>
      <c r="H16" s="33">
        <f>H12-H14-H18</f>
        <v/>
      </c>
      <c r="I16" s="33">
        <f>I12-I14-I18</f>
        <v/>
      </c>
      <c r="J16" s="51">
        <f>J12*FS!$B$101/100</f>
        <v/>
      </c>
      <c r="K16" s="51">
        <f>K12*FS!$B$101/100</f>
        <v/>
      </c>
      <c r="L16" s="51">
        <f>L12*FS!$B$101/100</f>
        <v/>
      </c>
      <c r="M16" s="51">
        <f>M12*FS!$B$101/100</f>
        <v/>
      </c>
      <c r="N16" s="51">
        <f>N12*FS!$B$101/100</f>
        <v/>
      </c>
      <c r="O16" s="51">
        <f>O12*FS!$B$101/100</f>
        <v/>
      </c>
      <c r="P16" s="51">
        <f>P12*FS!$B$101/100</f>
        <v/>
      </c>
      <c r="Q16" s="51">
        <f>Q12*FS!$B$101/100</f>
        <v/>
      </c>
      <c r="R16" s="2" t="n"/>
      <c r="S16" s="2" t="n"/>
      <c r="T16" s="45">
        <f>IF(COUNTBLANK(B16:C16)&gt;0,"",SUM(B16:C16))</f>
        <v/>
      </c>
      <c r="U16" s="45">
        <f>IF(COUNTBLANK(D16:G16)&gt;0,"",SUM(D16:G16))</f>
        <v/>
      </c>
      <c r="V16" s="45">
        <f>IF(COUNTBLANK(H16:K16)&gt;0,"",SUM(H16:K16))</f>
        <v/>
      </c>
      <c r="W16" s="45">
        <f>IF(COUNTBLANK(L16:O16)&gt;0,"",SUM(L16:O16))</f>
        <v/>
      </c>
      <c r="X16" s="45">
        <f>IF(COUNTBLANK(P16:Q16)&gt;0,"",SUM(P16:Q16))</f>
        <v/>
      </c>
      <c r="Y16" s="2" t="n"/>
      <c r="Z16" s="2" t="n"/>
      <c r="AA16" s="53" t="inlineStr">
        <is>
          <t>Hist: Pretax−Tax−NP; Fcst: Pretax × 3.7%</t>
        </is>
      </c>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row>
    <row r="18">
      <c r="A18" s="3" t="inlineStr">
        <is>
          <t>Net Income</t>
        </is>
      </c>
      <c r="B18" s="8" t="n">
        <v>-346.8</v>
      </c>
      <c r="C18" s="8" t="n">
        <v>58.2</v>
      </c>
      <c r="D18" s="8" t="n">
        <v>35.6</v>
      </c>
      <c r="E18" s="8" t="n">
        <v>108.1</v>
      </c>
      <c r="F18" s="8" t="n">
        <v>116.4</v>
      </c>
      <c r="G18" s="8" t="n">
        <v>243.7</v>
      </c>
      <c r="H18" s="8" t="n">
        <v>85.59999999999999</v>
      </c>
      <c r="I18" s="8" t="n">
        <v>173</v>
      </c>
      <c r="J18" s="46">
        <f>J12-J14-J16</f>
        <v/>
      </c>
      <c r="K18" s="46">
        <f>K12-K14-K16</f>
        <v/>
      </c>
      <c r="L18" s="46">
        <f>L12-L14-L16</f>
        <v/>
      </c>
      <c r="M18" s="46">
        <f>M12-M14-M16</f>
        <v/>
      </c>
      <c r="N18" s="46">
        <f>N12-N14-N16</f>
        <v/>
      </c>
      <c r="O18" s="46">
        <f>O12-O14-O16</f>
        <v/>
      </c>
      <c r="P18" s="46">
        <f>P12-P14-P16</f>
        <v/>
      </c>
      <c r="Q18" s="46">
        <f>Q12-Q14-Q16</f>
        <v/>
      </c>
      <c r="R18" s="2" t="n"/>
      <c r="S18" s="2" t="n"/>
      <c r="T18" s="46">
        <f>IF(COUNTBLANK(B18:C18)&gt;0,"",SUM(B18:C18))</f>
        <v/>
      </c>
      <c r="U18" s="46">
        <f>IF(COUNTBLANK(D18:G18)&gt;0,"",SUM(D18:G18))</f>
        <v/>
      </c>
      <c r="V18" s="46">
        <f>IF(COUNTBLANK(H18:K18)&gt;0,"",SUM(H18:K18))</f>
        <v/>
      </c>
      <c r="W18" s="46">
        <f>IF(COUNTBLANK(L18:O18)&gt;0,"",SUM(L18:O18))</f>
        <v/>
      </c>
      <c r="X18" s="46">
        <f>IF(COUNTBLANK(P18:Q18)&gt;0,"",SUM(P18:Q18))</f>
        <v/>
      </c>
      <c r="Y18" s="8" t="n">
        <v>550</v>
      </c>
      <c r="Z18" s="52">
        <f>(J18+K18+L18+M18)/Y18-1</f>
        <v/>
      </c>
      <c r="AA18" s="53" t="inlineStr">
        <is>
          <t>Pretax − Tax − Minority  (親会社株主帰属)</t>
        </is>
      </c>
    </row>
    <row r="19">
      <c r="A19" s="2" t="inlineStr">
        <is>
          <t xml:space="preserve">  NPM %</t>
        </is>
      </c>
      <c r="B19" s="10">
        <f>B18/B4*100</f>
        <v/>
      </c>
      <c r="C19" s="10">
        <f>C18/C4*100</f>
        <v/>
      </c>
      <c r="D19" s="10">
        <f>D18/D4*100</f>
        <v/>
      </c>
      <c r="E19" s="10">
        <f>E18/E4*100</f>
        <v/>
      </c>
      <c r="F19" s="10">
        <f>F18/F4*100</f>
        <v/>
      </c>
      <c r="G19" s="10">
        <f>G18/G4*100</f>
        <v/>
      </c>
      <c r="H19" s="10">
        <f>H18/H4*100</f>
        <v/>
      </c>
      <c r="I19" s="10">
        <f>I18/I4*100</f>
        <v/>
      </c>
      <c r="J19" s="10">
        <f>J18/J4*100</f>
        <v/>
      </c>
      <c r="K19" s="10">
        <f>K18/K4*100</f>
        <v/>
      </c>
      <c r="L19" s="10">
        <f>L18/L4*100</f>
        <v/>
      </c>
      <c r="M19" s="10">
        <f>M18/M4*100</f>
        <v/>
      </c>
      <c r="N19" s="10">
        <f>N18/N4*100</f>
        <v/>
      </c>
      <c r="O19" s="10">
        <f>O18/O4*100</f>
        <v/>
      </c>
      <c r="P19" s="10">
        <f>P18/P4*100</f>
        <v/>
      </c>
      <c r="Q19" s="10">
        <f>Q18/Q4*100</f>
        <v/>
      </c>
      <c r="R19" s="2" t="n"/>
      <c r="S19" s="2" t="n"/>
      <c r="T19" s="54">
        <f>IF(OR(COUNTBLANK(B18:C18)&gt;0,COUNTBLANK(B4:C4)&gt;0),"",SUM(B18:C18)/SUM(B4:C4)*100)</f>
        <v/>
      </c>
      <c r="U19" s="54">
        <f>IF(OR(COUNTBLANK(D18:G18)&gt;0,COUNTBLANK(D4:G4)&gt;0),"",SUM(D18:G18)/SUM(D4:G4)*100)</f>
        <v/>
      </c>
      <c r="V19" s="54">
        <f>IF(OR(COUNTBLANK(H18:K18)&gt;0,COUNTBLANK(H4:K4)&gt;0),"",SUM(H18:K18)/SUM(H4:K4)*100)</f>
        <v/>
      </c>
      <c r="W19" s="54">
        <f>IF(OR(COUNTBLANK(L18:O18)&gt;0,COUNTBLANK(L4:O4)&gt;0),"",SUM(L18:O18)/SUM(L4:O4)*100)</f>
        <v/>
      </c>
      <c r="X19" s="54">
        <f>IF(OR(COUNTBLANK(P18:Q18)&gt;0,COUNTBLANK(P4:Q4)&gt;0),"",SUM(P18:Q18)/SUM(P4:Q4)*100)</f>
        <v/>
      </c>
      <c r="Y19" s="2" t="n"/>
      <c r="Z19" s="2" t="n"/>
      <c r="AA19" s="53" t="inlineStr">
        <is>
          <t>NP ÷ Sales</t>
        </is>
      </c>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row>
    <row r="21">
      <c r="A21" s="3" t="inlineStr">
        <is>
          <t>Diluted Shares (M)</t>
        </is>
      </c>
      <c r="B21" s="8" t="n">
        <v>263</v>
      </c>
      <c r="C21" s="8" t="n">
        <v>263</v>
      </c>
      <c r="D21" s="8" t="n">
        <v>263</v>
      </c>
      <c r="E21" s="8" t="n">
        <v>263</v>
      </c>
      <c r="F21" s="8" t="n">
        <v>262.9</v>
      </c>
      <c r="G21" s="8" t="n">
        <v>262.9</v>
      </c>
      <c r="H21" s="8" t="n">
        <v>262.8</v>
      </c>
      <c r="I21" s="8" t="n">
        <v>262.8</v>
      </c>
      <c r="J21" s="51">
        <f>I21-FS!J76*100/FS!$B$99</f>
        <v/>
      </c>
      <c r="K21" s="51">
        <f>J21-FS!K76*100/FS!$B$99</f>
        <v/>
      </c>
      <c r="L21" s="51">
        <f>K21-FS!L76*100/FS!$B$99</f>
        <v/>
      </c>
      <c r="M21" s="51">
        <f>L21-FS!M76*100/FS!$B$99</f>
        <v/>
      </c>
      <c r="N21" s="51">
        <f>M21-FS!N76*100/FS!$B$99</f>
        <v/>
      </c>
      <c r="O21" s="51">
        <f>N21-FS!O76*100/FS!$B$99</f>
        <v/>
      </c>
      <c r="P21" s="51">
        <f>O21-FS!P76*100/FS!$B$99</f>
        <v/>
      </c>
      <c r="Q21" s="51">
        <f>P21-FS!Q76*100/FS!$B$99</f>
        <v/>
      </c>
      <c r="R21" s="2" t="n"/>
      <c r="S21" s="2" t="n"/>
      <c r="T21" s="45">
        <f>IF(ISBLANK(C21),"",C21)</f>
        <v/>
      </c>
      <c r="U21" s="45">
        <f>IF(ISBLANK(G21),"",G21)</f>
        <v/>
      </c>
      <c r="V21" s="45">
        <f>IF(ISBLANK(K21),"",K21)</f>
        <v/>
      </c>
      <c r="W21" s="45">
        <f>IF(ISBLANK(O21),"",O21)</f>
        <v/>
      </c>
      <c r="X21" s="45">
        <f>IF(ISBLANK(Q21),"",Q21)</f>
        <v/>
      </c>
      <c r="Y21" s="2" t="n"/>
      <c r="Z21" s="2" t="n"/>
      <c r="AA21" s="53" t="inlineStr">
        <is>
          <t>Hist: per-Q AvgSh from fins_summary; Fcst: prior − Buyback×100÷AvgPx (B26)</t>
        </is>
      </c>
    </row>
    <row r="22">
      <c r="A22" s="3" t="inlineStr">
        <is>
          <t>EPS (¥)</t>
        </is>
      </c>
      <c r="B22" s="57">
        <f>B18*100/B21</f>
        <v/>
      </c>
      <c r="C22" s="57">
        <f>C18*100/C21</f>
        <v/>
      </c>
      <c r="D22" s="57">
        <f>D18*100/D21</f>
        <v/>
      </c>
      <c r="E22" s="57">
        <f>E18*100/E21</f>
        <v/>
      </c>
      <c r="F22" s="57">
        <f>F18*100/F21</f>
        <v/>
      </c>
      <c r="G22" s="57">
        <f>G18*100/G21</f>
        <v/>
      </c>
      <c r="H22" s="57">
        <f>H18*100/H21</f>
        <v/>
      </c>
      <c r="I22" s="57">
        <f>I18*100/I21</f>
        <v/>
      </c>
      <c r="J22" s="58">
        <f>J18*100/J21</f>
        <v/>
      </c>
      <c r="K22" s="58">
        <f>K18*100/K21</f>
        <v/>
      </c>
      <c r="L22" s="58">
        <f>L18*100/L21</f>
        <v/>
      </c>
      <c r="M22" s="58">
        <f>M18*100/M21</f>
        <v/>
      </c>
      <c r="N22" s="58">
        <f>N18*100/N21</f>
        <v/>
      </c>
      <c r="O22" s="58">
        <f>O18*100/O21</f>
        <v/>
      </c>
      <c r="P22" s="58">
        <f>P18*100/P21</f>
        <v/>
      </c>
      <c r="Q22" s="58">
        <f>Q18*100/Q21</f>
        <v/>
      </c>
      <c r="R22" s="2" t="n"/>
      <c r="S22" s="2" t="n"/>
      <c r="T22" s="58">
        <f>IF(COUNTBLANK(B22:C22)&gt;0,"",SUM(B22:C22))</f>
        <v/>
      </c>
      <c r="U22" s="58">
        <f>IF(COUNTBLANK(D22:G22)&gt;0,"",SUM(D22:G22))</f>
        <v/>
      </c>
      <c r="V22" s="58">
        <f>IF(COUNTBLANK(H22:K22)&gt;0,"",SUM(H22:K22))</f>
        <v/>
      </c>
      <c r="W22" s="58">
        <f>IF(COUNTBLANK(L22:O22)&gt;0,"",SUM(L22:O22))</f>
        <v/>
      </c>
      <c r="X22" s="58">
        <f>IF(COUNTBLANK(P22:Q22)&gt;0,"",SUM(P22:Q22))</f>
        <v/>
      </c>
      <c r="Y22" s="11" t="n">
        <v>209.25</v>
      </c>
      <c r="Z22" s="52">
        <f>(J22+K22+L22+M22)/Y22-1</f>
        <v/>
      </c>
      <c r="AA22" s="53" t="inlineStr">
        <is>
          <t>NP × 100 ÷ Shares  (oku → yen)</t>
        </is>
      </c>
    </row>
    <row r="23">
      <c r="A23" s="3" t="inlineStr">
        <is>
          <t>DPS (¥)</t>
        </is>
      </c>
      <c r="B23" s="57">
        <f>B22*0.4</f>
        <v/>
      </c>
      <c r="C23" s="57">
        <f>C22*0.4</f>
        <v/>
      </c>
      <c r="D23" s="57">
        <f>D22*0.4</f>
        <v/>
      </c>
      <c r="E23" s="57">
        <f>E22*0.4</f>
        <v/>
      </c>
      <c r="F23" s="57">
        <f>F22*0.4</f>
        <v/>
      </c>
      <c r="G23" s="57">
        <f>G22*0.4</f>
        <v/>
      </c>
      <c r="H23" s="57">
        <f>H22*0.4</f>
        <v/>
      </c>
      <c r="I23" s="57">
        <f>I22*0.4</f>
        <v/>
      </c>
      <c r="J23" s="12">
        <f>J22*FS!$B$88/100</f>
        <v/>
      </c>
      <c r="K23" s="12">
        <f>K22*FS!$B$88/100</f>
        <v/>
      </c>
      <c r="L23" s="12">
        <f>L22*FS!$B$88/100</f>
        <v/>
      </c>
      <c r="M23" s="12">
        <f>M22*FS!$B$88/100</f>
        <v/>
      </c>
      <c r="N23" s="12">
        <f>N22*FS!$B$88/100</f>
        <v/>
      </c>
      <c r="O23" s="12">
        <f>O22*FS!$B$88/100</f>
        <v/>
      </c>
      <c r="P23" s="12">
        <f>P22*FS!$B$88/100</f>
        <v/>
      </c>
      <c r="Q23" s="12">
        <f>Q22*FS!$B$88/100</f>
        <v/>
      </c>
      <c r="R23" s="2" t="n"/>
      <c r="S23" s="2" t="n"/>
      <c r="T23" s="59">
        <f>IF(COUNTBLANK(B23:C23)&gt;0,"",SUM(B23:C23))</f>
        <v/>
      </c>
      <c r="U23" s="59">
        <f>IF(COUNTBLANK(D23:G23)&gt;0,"",SUM(D23:G23))</f>
        <v/>
      </c>
      <c r="V23" s="59">
        <f>IF(COUNTBLANK(H23:K23)&gt;0,"",SUM(H23:K23))</f>
        <v/>
      </c>
      <c r="W23" s="59">
        <f>IF(COUNTBLANK(L23:O23)&gt;0,"",SUM(L23:O23))</f>
        <v/>
      </c>
      <c r="X23" s="59">
        <f>IF(COUNTBLANK(P23:Q23)&gt;0,"",SUM(P23:Q23))</f>
        <v/>
      </c>
      <c r="Y23" s="2" t="n"/>
      <c r="Z23" s="2" t="n"/>
      <c r="AA23" s="53" t="inlineStr">
        <is>
          <t>Disclosed DPS (実績/会社予想): interim@Q2, year-end@Q4; else EPS×payout</t>
        </is>
      </c>
    </row>
    <row r="24">
      <c r="A24" s="2" t="inlineStr">
        <is>
          <t>Payout %</t>
        </is>
      </c>
      <c r="B24" s="10">
        <f>IF(B22=0,"",B23/B22*100)</f>
        <v/>
      </c>
      <c r="C24" s="10">
        <f>IF(C22=0,"",C23/C22*100)</f>
        <v/>
      </c>
      <c r="D24" s="10">
        <f>IF(D22=0,"",D23/D22*100)</f>
        <v/>
      </c>
      <c r="E24" s="10">
        <f>IF(E22=0,"",E23/E22*100)</f>
        <v/>
      </c>
      <c r="F24" s="10">
        <f>IF(F22=0,"",F23/F22*100)</f>
        <v/>
      </c>
      <c r="G24" s="10">
        <f>IF(G22=0,"",G23/G22*100)</f>
        <v/>
      </c>
      <c r="H24" s="10">
        <f>IF(H22=0,"",H23/H22*100)</f>
        <v/>
      </c>
      <c r="I24" s="10">
        <f>IF(I22=0,"",I23/I22*100)</f>
        <v/>
      </c>
      <c r="J24" s="10">
        <f>IF(J22=0,"",J23/J22*100)</f>
        <v/>
      </c>
      <c r="K24" s="10">
        <f>IF(K22=0,"",K23/K22*100)</f>
        <v/>
      </c>
      <c r="L24" s="10">
        <f>IF(L22=0,"",L23/L22*100)</f>
        <v/>
      </c>
      <c r="M24" s="10">
        <f>IF(M22=0,"",M23/M22*100)</f>
        <v/>
      </c>
      <c r="N24" s="10">
        <f>IF(N22=0,"",N23/N22*100)</f>
        <v/>
      </c>
      <c r="O24" s="10">
        <f>IF(O22=0,"",O23/O22*100)</f>
        <v/>
      </c>
      <c r="P24" s="10">
        <f>IF(P22=0,"",P23/P22*100)</f>
        <v/>
      </c>
      <c r="Q24" s="10">
        <f>IF(Q22=0,"",Q23/Q22*100)</f>
        <v/>
      </c>
      <c r="R24" s="2" t="n"/>
      <c r="S24" s="2" t="n"/>
      <c r="T24" s="54">
        <f>IF(OR(COUNTBLANK(B23:C23)&gt;0,COUNTBLANK(B22:C22)&gt;0),"",SUM(B23:C23)/SUM(B22:C22)*100)</f>
        <v/>
      </c>
      <c r="U24" s="54">
        <f>IF(OR(COUNTBLANK(D23:G23)&gt;0,COUNTBLANK(D22:G22)&gt;0),"",SUM(D23:G23)/SUM(D22:G22)*100)</f>
        <v/>
      </c>
      <c r="V24" s="54">
        <f>IF(OR(COUNTBLANK(H23:K23)&gt;0,COUNTBLANK(H22:K22)&gt;0),"",SUM(H23:K23)/SUM(H22:K22)*100)</f>
        <v/>
      </c>
      <c r="W24" s="54">
        <f>IF(OR(COUNTBLANK(L23:O23)&gt;0,COUNTBLANK(L22:O22)&gt;0),"",SUM(L23:O23)/SUM(L22:O22)*100)</f>
        <v/>
      </c>
      <c r="X24" s="54">
        <f>IF(OR(COUNTBLANK(P23:Q23)&gt;0,COUNTBLANK(P22:Q22)&gt;0),"",SUM(P23:Q23)/SUM(P22:Q22)*100)</f>
        <v/>
      </c>
      <c r="Y24" s="2" t="n"/>
      <c r="Z24" s="2" t="n"/>
      <c r="AA24" s="53" t="inlineStr">
        <is>
          <t>DPS ÷ EPS</t>
        </is>
      </c>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row>
    <row r="27">
      <c r="A27" s="48" t="inlineStr">
        <is>
          <t>Balance Sheet (億) — BLUE=actual/input, BLACK=formula, GREEN=cross-sheet, ORANGE=guide/end-of-FY</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row>
    <row r="29">
      <c r="A29" s="6" t="inlineStr">
        <is>
          <t>Line Item</t>
        </is>
      </c>
      <c r="B29" s="43" t="inlineStr">
        <is>
          <t>FY24Q3</t>
        </is>
      </c>
      <c r="C29" s="43" t="inlineStr">
        <is>
          <t>FY24Q4</t>
        </is>
      </c>
      <c r="D29" s="43" t="inlineStr">
        <is>
          <t>FY25Q1</t>
        </is>
      </c>
      <c r="E29" s="43" t="inlineStr">
        <is>
          <t>FY25Q2</t>
        </is>
      </c>
      <c r="F29" s="43" t="inlineStr">
        <is>
          <t>FY25Q3</t>
        </is>
      </c>
      <c r="G29" s="43" t="inlineStr">
        <is>
          <t>FY25Q4</t>
        </is>
      </c>
      <c r="H29" s="43" t="inlineStr">
        <is>
          <t>FY26Q1</t>
        </is>
      </c>
      <c r="I29" s="43" t="inlineStr">
        <is>
          <t>FY26Q2</t>
        </is>
      </c>
      <c r="J29" s="49" t="inlineStr">
        <is>
          <t>FY26Q3</t>
        </is>
      </c>
      <c r="K29" s="49" t="inlineStr">
        <is>
          <t>FY26Q4</t>
        </is>
      </c>
      <c r="L29" s="49" t="inlineStr">
        <is>
          <t>FY27Q1</t>
        </is>
      </c>
      <c r="M29" s="49" t="inlineStr">
        <is>
          <t>FY27Q2</t>
        </is>
      </c>
      <c r="N29" s="49" t="inlineStr">
        <is>
          <t>FY27Q3</t>
        </is>
      </c>
      <c r="O29" s="49" t="inlineStr">
        <is>
          <t>FY27Q4</t>
        </is>
      </c>
      <c r="P29" s="49" t="inlineStr">
        <is>
          <t>FY28Q1</t>
        </is>
      </c>
      <c r="Q29" s="49" t="inlineStr">
        <is>
          <t>FY28Q2</t>
        </is>
      </c>
      <c r="R29" s="2" t="n"/>
      <c r="S29" s="2" t="n"/>
      <c r="T29" s="43" t="inlineStr">
        <is>
          <t>FY24</t>
        </is>
      </c>
      <c r="U29" s="43" t="inlineStr">
        <is>
          <t>FY25</t>
        </is>
      </c>
      <c r="V29" s="44" t="inlineStr">
        <is>
          <t>FY26</t>
        </is>
      </c>
      <c r="W29" s="44" t="inlineStr">
        <is>
          <t>FY27</t>
        </is>
      </c>
      <c r="X29" s="44" t="inlineStr">
        <is>
          <t>FY28</t>
        </is>
      </c>
      <c r="Y29" s="44" t="inlineStr">
        <is>
          <t>FY26 EoFY</t>
        </is>
      </c>
      <c r="Z29" s="2" t="n"/>
      <c r="AA29" s="50" t="inlineStr">
        <is>
          <t>Forecast Formula (plain English)</t>
        </is>
      </c>
    </row>
    <row r="30">
      <c r="A30" s="3" t="inlineStr">
        <is>
          <t>Cash &amp; Equivalents</t>
        </is>
      </c>
      <c r="B30" s="8" t="n">
        <v>699.4</v>
      </c>
      <c r="C30" s="8" t="n">
        <v>1003.8</v>
      </c>
      <c r="D30" s="8" t="n">
        <v>870.4</v>
      </c>
      <c r="E30" s="8" t="n">
        <v>859.8</v>
      </c>
      <c r="F30" s="8" t="n">
        <v>1020.8</v>
      </c>
      <c r="G30" s="8" t="n">
        <v>986.4</v>
      </c>
      <c r="H30" s="8" t="n">
        <v>993.4</v>
      </c>
      <c r="I30" s="8" t="n">
        <v>986.9</v>
      </c>
      <c r="J30" s="51">
        <f>I30+FS!J63+FS!J64+FS!J65</f>
        <v/>
      </c>
      <c r="K30" s="51">
        <f>J30+FS!K63+FS!K64+FS!K65</f>
        <v/>
      </c>
      <c r="L30" s="51">
        <f>K30+FS!L63+FS!L64+FS!L65</f>
        <v/>
      </c>
      <c r="M30" s="51">
        <f>L30+FS!M63+FS!M64+FS!M65</f>
        <v/>
      </c>
      <c r="N30" s="51">
        <f>M30+FS!N63+FS!N64+FS!N65</f>
        <v/>
      </c>
      <c r="O30" s="51">
        <f>N30+FS!O63+FS!O64+FS!O65</f>
        <v/>
      </c>
      <c r="P30" s="51">
        <f>O30+FS!P63+FS!P64+FS!P65</f>
        <v/>
      </c>
      <c r="Q30" s="51">
        <f>P30+FS!Q63+FS!Q64+FS!Q65</f>
        <v/>
      </c>
      <c r="R30" s="2" t="n"/>
      <c r="S30" s="2" t="n"/>
      <c r="T30" s="45">
        <f>IF(ISBLANK(C30),"",C30)</f>
        <v/>
      </c>
      <c r="U30" s="45">
        <f>IF(ISBLANK(G30),"",G30)</f>
        <v/>
      </c>
      <c r="V30" s="45">
        <f>IF(ISBLANK(K30),"",K30)</f>
        <v/>
      </c>
      <c r="W30" s="45">
        <f>IF(ISBLANK(O30),"",O30)</f>
        <v/>
      </c>
      <c r="X30" s="45">
        <f>IF(ISBLANK(Q30),"",Q30)</f>
        <v/>
      </c>
      <c r="Y30" s="33">
        <f>Q30</f>
        <v/>
      </c>
      <c r="Z30" s="2" t="n"/>
      <c r="AA30" s="53" t="inlineStr">
        <is>
          <t>Prior Cash + OCF + ICF + Financing CF  (rolled from CF sheet; NOT Free CF — that is the separate OCF+ICF row)</t>
        </is>
      </c>
    </row>
    <row r="31">
      <c r="A31" s="3" t="inlineStr">
        <is>
          <t xml:space="preserve">  Trade Receivables</t>
        </is>
      </c>
      <c r="B31" s="8" t="n">
        <v>1944.3</v>
      </c>
      <c r="C31" s="8" t="n">
        <v>2216.8</v>
      </c>
      <c r="D31" s="8" t="n">
        <v>2079.1</v>
      </c>
      <c r="E31" s="8" t="n">
        <v>1864.6</v>
      </c>
      <c r="F31" s="8" t="n">
        <v>1945.9</v>
      </c>
      <c r="G31" s="8" t="n">
        <v>2093.2</v>
      </c>
      <c r="H31" s="8" t="n">
        <v>2160.7</v>
      </c>
      <c r="I31" s="8" t="n">
        <v>2072.8</v>
      </c>
      <c r="J31" s="51">
        <f>J55*FS!J4/91</f>
        <v/>
      </c>
      <c r="K31" s="51">
        <f>K55*FS!K4/91</f>
        <v/>
      </c>
      <c r="L31" s="51">
        <f>L55*FS!L4/91</f>
        <v/>
      </c>
      <c r="M31" s="51">
        <f>M55*FS!M4/91</f>
        <v/>
      </c>
      <c r="N31" s="51">
        <f>N55*FS!N4/91</f>
        <v/>
      </c>
      <c r="O31" s="51">
        <f>O55*FS!O4/91</f>
        <v/>
      </c>
      <c r="P31" s="51">
        <f>P55*FS!P4/91</f>
        <v/>
      </c>
      <c r="Q31" s="51">
        <f>Q55*FS!Q4/91</f>
        <v/>
      </c>
      <c r="R31" s="2" t="n"/>
      <c r="S31" s="2" t="n"/>
      <c r="T31" s="45">
        <f>IF(ISBLANK(C31),"",C31)</f>
        <v/>
      </c>
      <c r="U31" s="45">
        <f>IF(ISBLANK(G31),"",G31)</f>
        <v/>
      </c>
      <c r="V31" s="45">
        <f>IF(ISBLANK(K31),"",K31)</f>
        <v/>
      </c>
      <c r="W31" s="45">
        <f>IF(ISBLANK(O31),"",O31)</f>
        <v/>
      </c>
      <c r="X31" s="45">
        <f>IF(ISBLANK(Q31),"",Q31)</f>
        <v/>
      </c>
      <c r="Y31" s="2" t="n"/>
      <c r="Z31" s="2" t="n"/>
      <c r="AA31" s="53" t="inlineStr">
        <is>
          <t>Sales × DSO / 91  (or actual when available)</t>
        </is>
      </c>
    </row>
    <row r="32">
      <c r="A32" s="3" t="inlineStr">
        <is>
          <t xml:space="preserve">  Inventory</t>
        </is>
      </c>
      <c r="B32" s="8" t="n">
        <v>2959.6</v>
      </c>
      <c r="C32" s="8" t="n">
        <v>2909.5</v>
      </c>
      <c r="D32" s="8" t="n">
        <v>2826.2</v>
      </c>
      <c r="E32" s="8" t="n">
        <v>2899.6</v>
      </c>
      <c r="F32" s="8" t="n">
        <v>3075.7</v>
      </c>
      <c r="G32" s="8" t="n">
        <v>2981.2</v>
      </c>
      <c r="H32" s="8" t="n">
        <v>3155.6</v>
      </c>
      <c r="I32" s="8" t="n">
        <v>3494.7</v>
      </c>
      <c r="J32" s="51">
        <f>J56*FS!J5/91</f>
        <v/>
      </c>
      <c r="K32" s="51">
        <f>K56*FS!K5/91</f>
        <v/>
      </c>
      <c r="L32" s="51">
        <f>L56*FS!L5/91</f>
        <v/>
      </c>
      <c r="M32" s="51">
        <f>M56*FS!M5/91</f>
        <v/>
      </c>
      <c r="N32" s="51">
        <f>N56*FS!N5/91</f>
        <v/>
      </c>
      <c r="O32" s="51">
        <f>O56*FS!O5/91</f>
        <v/>
      </c>
      <c r="P32" s="51">
        <f>P56*FS!P5/91</f>
        <v/>
      </c>
      <c r="Q32" s="51">
        <f>Q56*FS!Q5/91</f>
        <v/>
      </c>
      <c r="R32" s="2" t="n"/>
      <c r="S32" s="2" t="n"/>
      <c r="T32" s="45">
        <f>IF(ISBLANK(C32),"",C32)</f>
        <v/>
      </c>
      <c r="U32" s="45">
        <f>IF(ISBLANK(G32),"",G32)</f>
        <v/>
      </c>
      <c r="V32" s="45">
        <f>IF(ISBLANK(K32),"",K32)</f>
        <v/>
      </c>
      <c r="W32" s="45">
        <f>IF(ISBLANK(O32),"",O32)</f>
        <v/>
      </c>
      <c r="X32" s="45">
        <f>IF(ISBLANK(Q32),"",Q32)</f>
        <v/>
      </c>
      <c r="Y32" s="2" t="n"/>
      <c r="Z32" s="2" t="n"/>
      <c r="AA32" s="53" t="inlineStr">
        <is>
          <t>COGS × DIO / 91</t>
        </is>
      </c>
    </row>
    <row r="33">
      <c r="A33" s="3" t="inlineStr">
        <is>
          <t xml:space="preserve">  Other CA</t>
        </is>
      </c>
      <c r="B33" s="8" t="n">
        <v>781.4</v>
      </c>
      <c r="C33" s="8" t="n">
        <v>567.5</v>
      </c>
      <c r="D33" s="8" t="n">
        <v>571.8</v>
      </c>
      <c r="E33" s="8" t="n">
        <v>681.5</v>
      </c>
      <c r="F33" s="8" t="n">
        <v>777.6</v>
      </c>
      <c r="G33" s="8" t="n">
        <v>732.4</v>
      </c>
      <c r="H33" s="8" t="n">
        <v>699.4</v>
      </c>
      <c r="I33" s="8" t="n">
        <v>626.4</v>
      </c>
      <c r="J33" s="45">
        <f>I33</f>
        <v/>
      </c>
      <c r="K33" s="45">
        <f>J33</f>
        <v/>
      </c>
      <c r="L33" s="45">
        <f>K33</f>
        <v/>
      </c>
      <c r="M33" s="45">
        <f>L33</f>
        <v/>
      </c>
      <c r="N33" s="45">
        <f>M33</f>
        <v/>
      </c>
      <c r="O33" s="45">
        <f>N33</f>
        <v/>
      </c>
      <c r="P33" s="45">
        <f>O33</f>
        <v/>
      </c>
      <c r="Q33" s="45">
        <f>P33</f>
        <v/>
      </c>
      <c r="R33" s="2" t="n"/>
      <c r="S33" s="2" t="n"/>
      <c r="T33" s="45">
        <f>IF(ISBLANK(C33),"",C33)</f>
        <v/>
      </c>
      <c r="U33" s="45">
        <f>IF(ISBLANK(G33),"",G33)</f>
        <v/>
      </c>
      <c r="V33" s="45">
        <f>IF(ISBLANK(K33),"",K33)</f>
        <v/>
      </c>
      <c r="W33" s="45">
        <f>IF(ISBLANK(O33),"",O33)</f>
        <v/>
      </c>
      <c r="X33" s="45">
        <f>IF(ISBLANK(Q33),"",Q33)</f>
        <v/>
      </c>
      <c r="Y33" s="2" t="n"/>
      <c r="Z33" s="2" t="n"/>
      <c r="AA33" s="53" t="inlineStr">
        <is>
          <t>Held constant from prior  (roll-forward, NOT zeroed)</t>
        </is>
      </c>
    </row>
    <row r="34">
      <c r="A34" s="3" t="inlineStr">
        <is>
          <t>Current Assets</t>
        </is>
      </c>
      <c r="B34" s="34">
        <f>B30+B31+B32+B33</f>
        <v/>
      </c>
      <c r="C34" s="34">
        <f>C30+C31+C32+C33</f>
        <v/>
      </c>
      <c r="D34" s="34">
        <f>D30+D31+D32+D33</f>
        <v/>
      </c>
      <c r="E34" s="34">
        <f>E30+E31+E32+E33</f>
        <v/>
      </c>
      <c r="F34" s="34">
        <f>F30+F31+F32+F33</f>
        <v/>
      </c>
      <c r="G34" s="34">
        <f>G30+G31+G32+G33</f>
        <v/>
      </c>
      <c r="H34" s="34">
        <f>H30+H31+H32+H33</f>
        <v/>
      </c>
      <c r="I34" s="34">
        <f>I30+I31+I32+I33</f>
        <v/>
      </c>
      <c r="J34" s="34">
        <f>J30+J31+J32+J33</f>
        <v/>
      </c>
      <c r="K34" s="34">
        <f>K30+K31+K32+K33</f>
        <v/>
      </c>
      <c r="L34" s="34">
        <f>L30+L31+L32+L33</f>
        <v/>
      </c>
      <c r="M34" s="34">
        <f>M30+M31+M32+M33</f>
        <v/>
      </c>
      <c r="N34" s="34">
        <f>N30+N31+N32+N33</f>
        <v/>
      </c>
      <c r="O34" s="34">
        <f>O30+O31+O32+O33</f>
        <v/>
      </c>
      <c r="P34" s="34">
        <f>P30+P31+P32+P33</f>
        <v/>
      </c>
      <c r="Q34" s="34">
        <f>Q30+Q31+Q32+Q33</f>
        <v/>
      </c>
      <c r="R34" s="2" t="n"/>
      <c r="S34" s="2" t="n"/>
      <c r="T34" s="45">
        <f>IF(ISBLANK(C34),"",C34)</f>
        <v/>
      </c>
      <c r="U34" s="45">
        <f>IF(ISBLANK(G34),"",G34)</f>
        <v/>
      </c>
      <c r="V34" s="45">
        <f>IF(ISBLANK(K34),"",K34)</f>
        <v/>
      </c>
      <c r="W34" s="45">
        <f>IF(ISBLANK(O34),"",O34)</f>
        <v/>
      </c>
      <c r="X34" s="45">
        <f>IF(ISBLANK(Q34),"",Q34)</f>
        <v/>
      </c>
      <c r="Y34" s="2" t="n"/>
      <c r="Z34" s="2" t="n"/>
      <c r="AA34" s="53" t="inlineStr">
        <is>
          <t>Cash + AR + Inv + OtherCA</t>
        </is>
      </c>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row>
    <row r="36">
      <c r="A36" s="3" t="inlineStr">
        <is>
          <t xml:space="preserve">  PPE (rolled)</t>
        </is>
      </c>
      <c r="B36" s="8" t="n">
        <v>4241.5</v>
      </c>
      <c r="C36" s="8" t="n">
        <v>4440.5</v>
      </c>
      <c r="D36" s="8" t="n">
        <v>4272.4</v>
      </c>
      <c r="E36" s="8" t="n">
        <v>4318.6</v>
      </c>
      <c r="F36" s="8" t="n">
        <v>4397.9</v>
      </c>
      <c r="G36" s="8" t="n">
        <v>4664.6</v>
      </c>
      <c r="H36" s="8" t="n">
        <v>4702</v>
      </c>
      <c r="I36" s="8" t="n">
        <v>4783.3</v>
      </c>
      <c r="J36" s="51">
        <f>I36-FS!J64-I36*FS!$B$100</f>
        <v/>
      </c>
      <c r="K36" s="51">
        <f>J36-FS!K64-J36*FS!$B$100</f>
        <v/>
      </c>
      <c r="L36" s="51">
        <f>K36-FS!L64-K36*FS!$B$100</f>
        <v/>
      </c>
      <c r="M36" s="51">
        <f>L36-FS!M64-L36*FS!$B$100</f>
        <v/>
      </c>
      <c r="N36" s="51">
        <f>M36-FS!N64-M36*FS!$B$100</f>
        <v/>
      </c>
      <c r="O36" s="51">
        <f>N36-FS!O64-N36*FS!$B$100</f>
        <v/>
      </c>
      <c r="P36" s="51">
        <f>O36-FS!P64-O36*FS!$B$100</f>
        <v/>
      </c>
      <c r="Q36" s="51">
        <f>P36-FS!Q64-P36*FS!$B$100</f>
        <v/>
      </c>
      <c r="R36" s="2" t="n"/>
      <c r="S36" s="2" t="n"/>
      <c r="T36" s="45">
        <f>IF(ISBLANK(C36),"",C36)</f>
        <v/>
      </c>
      <c r="U36" s="45">
        <f>IF(ISBLANK(G36),"",G36)</f>
        <v/>
      </c>
      <c r="V36" s="45">
        <f>IF(ISBLANK(K36),"",K36)</f>
        <v/>
      </c>
      <c r="W36" s="45">
        <f>IF(ISBLANK(O36),"",O36)</f>
        <v/>
      </c>
      <c r="X36" s="45">
        <f>IF(ISBLANK(Q36),"",Q36)</f>
        <v/>
      </c>
      <c r="Y36" s="2" t="n"/>
      <c r="Z36" s="2" t="n"/>
      <c r="AA36" s="53" t="inlineStr">
        <is>
          <t>Prior PPE + Capex − D&amp;A (Prior PPE × 4.39%/Q  (calibrated to the disclosed guide 210億/Q at the latest PPE; rises with PPE thereafter))</t>
        </is>
      </c>
    </row>
    <row r="37">
      <c r="A37" s="3" t="inlineStr">
        <is>
          <t xml:space="preserve">  Other NCA</t>
        </is>
      </c>
      <c r="B37" s="33">
        <f>B38-B34-B36</f>
        <v/>
      </c>
      <c r="C37" s="33">
        <f>C38-C34-C36</f>
        <v/>
      </c>
      <c r="D37" s="33">
        <f>D38-D34-D36</f>
        <v/>
      </c>
      <c r="E37" s="33">
        <f>E38-E34-E36</f>
        <v/>
      </c>
      <c r="F37" s="33">
        <f>F38-F34-F36</f>
        <v/>
      </c>
      <c r="G37" s="33">
        <f>G38-G34-G36</f>
        <v/>
      </c>
      <c r="H37" s="33">
        <f>H38-H34-H36</f>
        <v/>
      </c>
      <c r="I37" s="33">
        <f>I38-I34-I36</f>
        <v/>
      </c>
      <c r="J37" s="45">
        <f>I37</f>
        <v/>
      </c>
      <c r="K37" s="45">
        <f>J37</f>
        <v/>
      </c>
      <c r="L37" s="45">
        <f>K37</f>
        <v/>
      </c>
      <c r="M37" s="45">
        <f>L37</f>
        <v/>
      </c>
      <c r="N37" s="45">
        <f>M37</f>
        <v/>
      </c>
      <c r="O37" s="45">
        <f>N37</f>
        <v/>
      </c>
      <c r="P37" s="45">
        <f>O37</f>
        <v/>
      </c>
      <c r="Q37" s="45">
        <f>P37</f>
        <v/>
      </c>
      <c r="R37" s="2" t="n"/>
      <c r="S37" s="2" t="n"/>
      <c r="T37" s="45">
        <f>IF(ISBLANK(C37),"",C37)</f>
        <v/>
      </c>
      <c r="U37" s="45">
        <f>IF(ISBLANK(G37),"",G37)</f>
        <v/>
      </c>
      <c r="V37" s="45">
        <f>IF(ISBLANK(K37),"",K37)</f>
        <v/>
      </c>
      <c r="W37" s="45">
        <f>IF(ISBLANK(O37),"",O37)</f>
        <v/>
      </c>
      <c r="X37" s="45">
        <f>IF(ISBLANK(Q37),"",Q37)</f>
        <v/>
      </c>
      <c r="Y37" s="2" t="n"/>
      <c r="Z37" s="2" t="n"/>
      <c r="AA37" s="53" t="inlineStr">
        <is>
          <t>Held constant from prior</t>
        </is>
      </c>
    </row>
    <row r="38">
      <c r="A38" s="3" t="inlineStr">
        <is>
          <t>TOTAL ASSETS</t>
        </is>
      </c>
      <c r="B38" s="60" t="n">
        <v>12713.6</v>
      </c>
      <c r="C38" s="60" t="n">
        <v>13411.2</v>
      </c>
      <c r="D38" s="60" t="n">
        <v>12902.4</v>
      </c>
      <c r="E38" s="60" t="n">
        <v>13529.8</v>
      </c>
      <c r="F38" s="60" t="n">
        <v>14172.1</v>
      </c>
      <c r="G38" s="60" t="n">
        <v>14599.3</v>
      </c>
      <c r="H38" s="60" t="n">
        <v>14906</v>
      </c>
      <c r="I38" s="60" t="n">
        <v>15121.6</v>
      </c>
      <c r="J38" s="46">
        <f>J34+J36+J37</f>
        <v/>
      </c>
      <c r="K38" s="46">
        <f>K34+K36+K37</f>
        <v/>
      </c>
      <c r="L38" s="46">
        <f>L34+L36+L37</f>
        <v/>
      </c>
      <c r="M38" s="46">
        <f>M34+M36+M37</f>
        <v/>
      </c>
      <c r="N38" s="46">
        <f>N34+N36+N37</f>
        <v/>
      </c>
      <c r="O38" s="46">
        <f>O34+O36+O37</f>
        <v/>
      </c>
      <c r="P38" s="46">
        <f>P34+P36+P37</f>
        <v/>
      </c>
      <c r="Q38" s="46">
        <f>Q34+Q36+Q37</f>
        <v/>
      </c>
      <c r="R38" s="2" t="n"/>
      <c r="S38" s="2" t="n"/>
      <c r="T38" s="45">
        <f>IF(ISBLANK(C38),"",C38)</f>
        <v/>
      </c>
      <c r="U38" s="45">
        <f>IF(ISBLANK(G38),"",G38)</f>
        <v/>
      </c>
      <c r="V38" s="45">
        <f>IF(ISBLANK(K38),"",K38)</f>
        <v/>
      </c>
      <c r="W38" s="45">
        <f>IF(ISBLANK(O38),"",O38)</f>
        <v/>
      </c>
      <c r="X38" s="45">
        <f>IF(ISBLANK(Q38),"",Q38)</f>
        <v/>
      </c>
      <c r="Y38" s="34">
        <f>Q38</f>
        <v/>
      </c>
      <c r="Z38" s="2" t="n"/>
      <c r="AA38" s="53" t="inlineStr">
        <is>
          <t>CA + PPE + OtherNCA</t>
        </is>
      </c>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row>
    <row r="40">
      <c r="A40" s="3" t="inlineStr">
        <is>
          <t xml:space="preserve">  Trade Payables</t>
        </is>
      </c>
      <c r="B40" s="8" t="n">
        <v>1597.5</v>
      </c>
      <c r="C40" s="8" t="n">
        <v>1865.9</v>
      </c>
      <c r="D40" s="8" t="n">
        <v>1682.4</v>
      </c>
      <c r="E40" s="8" t="n">
        <v>1618.1</v>
      </c>
      <c r="F40" s="8" t="n">
        <v>1582.8</v>
      </c>
      <c r="G40" s="8" t="n">
        <v>1810.5</v>
      </c>
      <c r="H40" s="8" t="n">
        <v>1706.5</v>
      </c>
      <c r="I40" s="8" t="n">
        <v>1805.4</v>
      </c>
      <c r="J40" s="51">
        <f>J57*FS!J5/91</f>
        <v/>
      </c>
      <c r="K40" s="51">
        <f>K57*FS!K5/91</f>
        <v/>
      </c>
      <c r="L40" s="51">
        <f>L57*FS!L5/91</f>
        <v/>
      </c>
      <c r="M40" s="51">
        <f>M57*FS!M5/91</f>
        <v/>
      </c>
      <c r="N40" s="51">
        <f>N57*FS!N5/91</f>
        <v/>
      </c>
      <c r="O40" s="51">
        <f>O57*FS!O5/91</f>
        <v/>
      </c>
      <c r="P40" s="51">
        <f>P57*FS!P5/91</f>
        <v/>
      </c>
      <c r="Q40" s="51">
        <f>Q57*FS!Q5/91</f>
        <v/>
      </c>
      <c r="R40" s="2" t="n"/>
      <c r="S40" s="2" t="n"/>
      <c r="T40" s="45">
        <f>IF(ISBLANK(C40),"",C40)</f>
        <v/>
      </c>
      <c r="U40" s="45">
        <f>IF(ISBLANK(G40),"",G40)</f>
        <v/>
      </c>
      <c r="V40" s="45">
        <f>IF(ISBLANK(K40),"",K40)</f>
        <v/>
      </c>
      <c r="W40" s="45">
        <f>IF(ISBLANK(O40),"",O40)</f>
        <v/>
      </c>
      <c r="X40" s="45">
        <f>IF(ISBLANK(Q40),"",Q40)</f>
        <v/>
      </c>
      <c r="Y40" s="2" t="n"/>
      <c r="Z40" s="2" t="n"/>
      <c r="AA40" s="53" t="inlineStr">
        <is>
          <t>COGS × DPO / 91  (or actual)</t>
        </is>
      </c>
    </row>
    <row r="41">
      <c r="A41" s="3" t="inlineStr">
        <is>
          <t xml:space="preserve">  Debt</t>
        </is>
      </c>
      <c r="B41" s="8" t="n">
        <v>2510.4</v>
      </c>
      <c r="C41" s="8" t="n">
        <v>2524.4</v>
      </c>
      <c r="D41" s="8" t="n">
        <v>2620.2</v>
      </c>
      <c r="E41" s="8" t="n">
        <v>3268.8</v>
      </c>
      <c r="F41" s="8" t="n">
        <v>3560.7</v>
      </c>
      <c r="G41" s="8" t="n">
        <v>3220.5</v>
      </c>
      <c r="H41" s="8" t="n">
        <v>3556.6</v>
      </c>
      <c r="I41" s="8" t="n">
        <v>3477.8</v>
      </c>
      <c r="J41" s="51">
        <f>I41+FS!J77</f>
        <v/>
      </c>
      <c r="K41" s="51">
        <f>J41+FS!K77</f>
        <v/>
      </c>
      <c r="L41" s="51">
        <f>K41+FS!L77</f>
        <v/>
      </c>
      <c r="M41" s="51">
        <f>L41+FS!M77</f>
        <v/>
      </c>
      <c r="N41" s="51">
        <f>M41+FS!N77</f>
        <v/>
      </c>
      <c r="O41" s="51">
        <f>N41+FS!O77</f>
        <v/>
      </c>
      <c r="P41" s="51">
        <f>O41+FS!P77</f>
        <v/>
      </c>
      <c r="Q41" s="51">
        <f>P41+FS!Q77</f>
        <v/>
      </c>
      <c r="R41" s="2" t="n"/>
      <c r="S41" s="2" t="n"/>
      <c r="T41" s="45">
        <f>IF(ISBLANK(C41),"",C41)</f>
        <v/>
      </c>
      <c r="U41" s="45">
        <f>IF(ISBLANK(G41),"",G41)</f>
        <v/>
      </c>
      <c r="V41" s="45">
        <f>IF(ISBLANK(K41),"",K41)</f>
        <v/>
      </c>
      <c r="W41" s="45">
        <f>IF(ISBLANK(O41),"",O41)</f>
        <v/>
      </c>
      <c r="X41" s="45">
        <f>IF(ISBLANK(Q41),"",Q41)</f>
        <v/>
      </c>
      <c r="Y41" s="2" t="n"/>
      <c r="Z41" s="2" t="n"/>
      <c r="AA41" s="53" t="inlineStr">
        <is>
          <t>Prior Debt + Net Debt Issuance (held flat unless a schedule is set)</t>
        </is>
      </c>
    </row>
    <row r="42">
      <c r="A42" s="3" t="inlineStr">
        <is>
          <t xml:space="preserve">  Other Liab</t>
        </is>
      </c>
      <c r="B42" s="33">
        <f>B43-B40-B41</f>
        <v/>
      </c>
      <c r="C42" s="33">
        <f>C43-C40-C41</f>
        <v/>
      </c>
      <c r="D42" s="33">
        <f>D43-D40-D41</f>
        <v/>
      </c>
      <c r="E42" s="33">
        <f>E43-E40-E41</f>
        <v/>
      </c>
      <c r="F42" s="33">
        <f>F43-F40-F41</f>
        <v/>
      </c>
      <c r="G42" s="33">
        <f>G43-G40-G41</f>
        <v/>
      </c>
      <c r="H42" s="33">
        <f>H43-H40-H41</f>
        <v/>
      </c>
      <c r="I42" s="33">
        <f>I43-I40-I41</f>
        <v/>
      </c>
      <c r="J42" s="45">
        <f>I42</f>
        <v/>
      </c>
      <c r="K42" s="45">
        <f>J42</f>
        <v/>
      </c>
      <c r="L42" s="45">
        <f>K42</f>
        <v/>
      </c>
      <c r="M42" s="45">
        <f>L42</f>
        <v/>
      </c>
      <c r="N42" s="45">
        <f>M42</f>
        <v/>
      </c>
      <c r="O42" s="45">
        <f>N42</f>
        <v/>
      </c>
      <c r="P42" s="45">
        <f>O42</f>
        <v/>
      </c>
      <c r="Q42" s="45">
        <f>P42</f>
        <v/>
      </c>
      <c r="R42" s="2" t="n"/>
      <c r="S42" s="2" t="n"/>
      <c r="T42" s="45">
        <f>IF(ISBLANK(C42),"",C42)</f>
        <v/>
      </c>
      <c r="U42" s="45">
        <f>IF(ISBLANK(G42),"",G42)</f>
        <v/>
      </c>
      <c r="V42" s="45">
        <f>IF(ISBLANK(K42),"",K42)</f>
        <v/>
      </c>
      <c r="W42" s="45">
        <f>IF(ISBLANK(O42),"",O42)</f>
        <v/>
      </c>
      <c r="X42" s="45">
        <f>IF(ISBLANK(Q42),"",Q42)</f>
        <v/>
      </c>
      <c r="Y42" s="2" t="n"/>
      <c r="Z42" s="2" t="n"/>
      <c r="AA42" s="53" t="inlineStr">
        <is>
          <t>Held constant from prior  (roll-forward)</t>
        </is>
      </c>
    </row>
    <row r="43">
      <c r="A43" s="3" t="inlineStr">
        <is>
          <t>TOTAL LIAB</t>
        </is>
      </c>
      <c r="B43" s="60" t="n">
        <v>6341.8</v>
      </c>
      <c r="C43" s="60" t="n">
        <v>6653.1</v>
      </c>
      <c r="D43" s="60" t="n">
        <v>6408.3</v>
      </c>
      <c r="E43" s="60" t="n">
        <v>6937.2</v>
      </c>
      <c r="F43" s="60" t="n">
        <v>7359.2</v>
      </c>
      <c r="G43" s="60" t="n">
        <v>7236.2</v>
      </c>
      <c r="H43" s="60" t="n">
        <v>7434.6</v>
      </c>
      <c r="I43" s="60" t="n">
        <v>7374.1</v>
      </c>
      <c r="J43" s="46">
        <f>J40+J41+J42</f>
        <v/>
      </c>
      <c r="K43" s="46">
        <f>K40+K41+K42</f>
        <v/>
      </c>
      <c r="L43" s="46">
        <f>L40+L41+L42</f>
        <v/>
      </c>
      <c r="M43" s="46">
        <f>M40+M41+M42</f>
        <v/>
      </c>
      <c r="N43" s="46">
        <f>N40+N41+N42</f>
        <v/>
      </c>
      <c r="O43" s="46">
        <f>O40+O41+O42</f>
        <v/>
      </c>
      <c r="P43" s="46">
        <f>P40+P41+P42</f>
        <v/>
      </c>
      <c r="Q43" s="46">
        <f>Q40+Q41+Q42</f>
        <v/>
      </c>
      <c r="R43" s="2" t="n"/>
      <c r="S43" s="2" t="n"/>
      <c r="T43" s="45">
        <f>IF(ISBLANK(C43),"",C43)</f>
        <v/>
      </c>
      <c r="U43" s="45">
        <f>IF(ISBLANK(G43),"",G43)</f>
        <v/>
      </c>
      <c r="V43" s="45">
        <f>IF(ISBLANK(K43),"",K43)</f>
        <v/>
      </c>
      <c r="W43" s="45">
        <f>IF(ISBLANK(O43),"",O43)</f>
        <v/>
      </c>
      <c r="X43" s="45">
        <f>IF(ISBLANK(Q43),"",Q43)</f>
        <v/>
      </c>
      <c r="Y43" s="2" t="n"/>
      <c r="Z43" s="2" t="n"/>
      <c r="AA43" s="53" t="inlineStr">
        <is>
          <t>AP + Debt + OtherL  (independent components)</t>
        </is>
      </c>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row>
    <row r="45">
      <c r="A45" s="3" t="inlineStr">
        <is>
          <t>Shareholders Eq</t>
        </is>
      </c>
      <c r="B45" s="60" t="n">
        <v>6191.5</v>
      </c>
      <c r="C45" s="60" t="n">
        <v>6558.1</v>
      </c>
      <c r="D45" s="60" t="n">
        <v>6309.3</v>
      </c>
      <c r="E45" s="60" t="n">
        <v>6413.1</v>
      </c>
      <c r="F45" s="60" t="n">
        <v>6618.4</v>
      </c>
      <c r="G45" s="60" t="n">
        <v>7153.7</v>
      </c>
      <c r="H45" s="60" t="n">
        <v>7259.2</v>
      </c>
      <c r="I45" s="60" t="n">
        <v>7545.7</v>
      </c>
      <c r="J45" s="55">
        <f>I45+FS!J18-FS!J23*FS!J21/100-FS!J76</f>
        <v/>
      </c>
      <c r="K45" s="55">
        <f>J45+FS!K18-FS!K23*FS!K21/100-FS!K76</f>
        <v/>
      </c>
      <c r="L45" s="55">
        <f>K45+FS!L18-FS!L23*FS!L21/100-FS!L76</f>
        <v/>
      </c>
      <c r="M45" s="55">
        <f>L45+FS!M18-FS!M23*FS!M21/100-FS!M76</f>
        <v/>
      </c>
      <c r="N45" s="55">
        <f>M45+FS!N18-FS!N23*FS!N21/100-FS!N76</f>
        <v/>
      </c>
      <c r="O45" s="55">
        <f>N45+FS!O18-FS!O23*FS!O21/100-FS!O76</f>
        <v/>
      </c>
      <c r="P45" s="55">
        <f>O45+FS!P18-FS!P23*FS!P21/100-FS!P76</f>
        <v/>
      </c>
      <c r="Q45" s="55">
        <f>P45+FS!Q18-FS!Q23*FS!Q21/100-FS!Q76</f>
        <v/>
      </c>
      <c r="R45" s="2" t="n"/>
      <c r="S45" s="2" t="n"/>
      <c r="T45" s="45">
        <f>IF(ISBLANK(C45),"",C45)</f>
        <v/>
      </c>
      <c r="U45" s="45">
        <f>IF(ISBLANK(G45),"",G45)</f>
        <v/>
      </c>
      <c r="V45" s="45">
        <f>IF(ISBLANK(K45),"",K45)</f>
        <v/>
      </c>
      <c r="W45" s="45">
        <f>IF(ISBLANK(O45),"",O45)</f>
        <v/>
      </c>
      <c r="X45" s="45">
        <f>IF(ISBLANK(Q45),"",Q45)</f>
        <v/>
      </c>
      <c r="Y45" s="34">
        <f>Q45</f>
        <v/>
      </c>
      <c r="Z45" s="2" t="n"/>
      <c r="AA45" s="53" t="inlineStr">
        <is>
          <t>Prior Eq + NI − Dividends − Buyback</t>
        </is>
      </c>
    </row>
    <row r="46">
      <c r="A46" s="3" t="inlineStr">
        <is>
          <t xml:space="preserve">  Retained Earnings</t>
        </is>
      </c>
      <c r="B46" s="8" t="n">
        <v>5052.4</v>
      </c>
      <c r="C46" s="8" t="n">
        <v>5208.1</v>
      </c>
      <c r="D46" s="8" t="n">
        <v>5169.9</v>
      </c>
      <c r="E46" s="8" t="n">
        <v>5261</v>
      </c>
      <c r="F46" s="8" t="n">
        <v>5286.3</v>
      </c>
      <c r="G46" s="8" t="n">
        <v>5559.9</v>
      </c>
      <c r="H46" s="8" t="n">
        <v>5535.9</v>
      </c>
      <c r="I46" s="8" t="n">
        <v>5710.8</v>
      </c>
      <c r="J46" s="51">
        <f>I46+FS!J18-FS!J75-FS!J76</f>
        <v/>
      </c>
      <c r="K46" s="51">
        <f>J46+FS!K18-FS!K75-FS!K76</f>
        <v/>
      </c>
      <c r="L46" s="51">
        <f>K46+FS!L18-FS!L75-FS!L76</f>
        <v/>
      </c>
      <c r="M46" s="51">
        <f>L46+FS!M18-FS!M75-FS!M76</f>
        <v/>
      </c>
      <c r="N46" s="51">
        <f>M46+FS!N18-FS!N75-FS!N76</f>
        <v/>
      </c>
      <c r="O46" s="51">
        <f>N46+FS!O18-FS!O75-FS!O76</f>
        <v/>
      </c>
      <c r="P46" s="51">
        <f>O46+FS!P18-FS!P75-FS!P76</f>
        <v/>
      </c>
      <c r="Q46" s="51">
        <f>P46+FS!Q18-FS!Q75-FS!Q76</f>
        <v/>
      </c>
      <c r="R46" s="2" t="n"/>
      <c r="S46" s="2" t="n"/>
      <c r="T46" s="45">
        <f>IF(ISBLANK(C46),"",C46)</f>
        <v/>
      </c>
      <c r="U46" s="45">
        <f>IF(ISBLANK(G46),"",G46)</f>
        <v/>
      </c>
      <c r="V46" s="45">
        <f>IF(ISBLANK(K46),"",K46)</f>
        <v/>
      </c>
      <c r="W46" s="45">
        <f>IF(ISBLANK(O46),"",O46)</f>
        <v/>
      </c>
      <c r="X46" s="45">
        <f>IF(ISBLANK(Q46),"",Q46)</f>
        <v/>
      </c>
      <c r="Y46" s="2" t="n"/>
      <c r="Z46" s="2" t="n"/>
      <c r="AA46" s="53" t="inlineStr">
        <is>
          <t>Prior RE + NI − Dividends − Buyback</t>
        </is>
      </c>
    </row>
    <row r="47">
      <c r="A47" s="3" t="inlineStr">
        <is>
          <t xml:space="preserve">  Non-controlling</t>
        </is>
      </c>
      <c r="B47" s="8" t="n">
        <v>180.3</v>
      </c>
      <c r="C47" s="8" t="n">
        <v>200</v>
      </c>
      <c r="D47" s="8" t="n">
        <v>184.9</v>
      </c>
      <c r="E47" s="8" t="n">
        <v>179.5</v>
      </c>
      <c r="F47" s="8" t="n">
        <v>194.5</v>
      </c>
      <c r="G47" s="8" t="n">
        <v>209.4</v>
      </c>
      <c r="H47" s="8" t="n">
        <v>212.1</v>
      </c>
      <c r="I47" s="8" t="n">
        <v>201.8</v>
      </c>
      <c r="J47" s="33">
        <f>I47</f>
        <v/>
      </c>
      <c r="K47" s="33">
        <f>J47</f>
        <v/>
      </c>
      <c r="L47" s="33">
        <f>K47</f>
        <v/>
      </c>
      <c r="M47" s="33">
        <f>L47</f>
        <v/>
      </c>
      <c r="N47" s="33">
        <f>M47</f>
        <v/>
      </c>
      <c r="O47" s="33">
        <f>N47</f>
        <v/>
      </c>
      <c r="P47" s="33">
        <f>O47</f>
        <v/>
      </c>
      <c r="Q47" s="33">
        <f>P47</f>
        <v/>
      </c>
      <c r="R47" s="2" t="n"/>
      <c r="S47" s="2" t="n"/>
      <c r="T47" s="45">
        <f>IF(ISBLANK(C47),"",C47)</f>
        <v/>
      </c>
      <c r="U47" s="45">
        <f>IF(ISBLANK(G47),"",G47)</f>
        <v/>
      </c>
      <c r="V47" s="45">
        <f>IF(ISBLANK(K47),"",K47)</f>
        <v/>
      </c>
      <c r="W47" s="45">
        <f>IF(ISBLANK(O47),"",O47)</f>
        <v/>
      </c>
      <c r="X47" s="45">
        <f>IF(ISBLANK(Q47),"",Q47)</f>
        <v/>
      </c>
      <c r="Y47" s="2" t="n"/>
      <c r="Z47" s="2" t="n"/>
      <c r="AA47" s="53" t="inlineStr">
        <is>
          <t>Held constant from prior  (roll-forward, NOT zeroed)</t>
        </is>
      </c>
    </row>
    <row r="48">
      <c r="A48" s="3" t="inlineStr">
        <is>
          <t>TOTAL EQUITY</t>
        </is>
      </c>
      <c r="B48" s="34">
        <f>B45+B47</f>
        <v/>
      </c>
      <c r="C48" s="34">
        <f>C45+C47</f>
        <v/>
      </c>
      <c r="D48" s="34">
        <f>D45+D47</f>
        <v/>
      </c>
      <c r="E48" s="34">
        <f>E45+E47</f>
        <v/>
      </c>
      <c r="F48" s="34">
        <f>F45+F47</f>
        <v/>
      </c>
      <c r="G48" s="34">
        <f>G45+G47</f>
        <v/>
      </c>
      <c r="H48" s="34">
        <f>H45+H47</f>
        <v/>
      </c>
      <c r="I48" s="34">
        <f>I45+I47</f>
        <v/>
      </c>
      <c r="J48" s="34">
        <f>J45+J47</f>
        <v/>
      </c>
      <c r="K48" s="34">
        <f>K45+K47</f>
        <v/>
      </c>
      <c r="L48" s="34">
        <f>L45+L47</f>
        <v/>
      </c>
      <c r="M48" s="34">
        <f>M45+M47</f>
        <v/>
      </c>
      <c r="N48" s="34">
        <f>N45+N47</f>
        <v/>
      </c>
      <c r="O48" s="34">
        <f>O45+O47</f>
        <v/>
      </c>
      <c r="P48" s="34">
        <f>P45+P47</f>
        <v/>
      </c>
      <c r="Q48" s="34">
        <f>Q45+Q47</f>
        <v/>
      </c>
      <c r="R48" s="2" t="n"/>
      <c r="S48" s="2" t="n"/>
      <c r="T48" s="45">
        <f>IF(ISBLANK(C48),"",C48)</f>
        <v/>
      </c>
      <c r="U48" s="45">
        <f>IF(ISBLANK(G48),"",G48)</f>
        <v/>
      </c>
      <c r="V48" s="45">
        <f>IF(ISBLANK(K48),"",K48)</f>
        <v/>
      </c>
      <c r="W48" s="45">
        <f>IF(ISBLANK(O48),"",O48)</f>
        <v/>
      </c>
      <c r="X48" s="45">
        <f>IF(ISBLANK(Q48),"",Q48)</f>
        <v/>
      </c>
      <c r="Y48" s="2" t="n"/>
      <c r="Z48" s="2" t="n"/>
      <c r="AA48" s="53" t="inlineStr">
        <is>
          <t>Eq + NCI</t>
        </is>
      </c>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row>
    <row r="50">
      <c r="A50" s="3" t="inlineStr">
        <is>
          <t>BS Check (TA-TL-TE)</t>
        </is>
      </c>
      <c r="B50" s="61">
        <f>B38-B43-B48</f>
        <v/>
      </c>
      <c r="C50" s="61">
        <f>C38-C43-C48</f>
        <v/>
      </c>
      <c r="D50" s="61">
        <f>D38-D43-D48</f>
        <v/>
      </c>
      <c r="E50" s="61">
        <f>E38-E43-E48</f>
        <v/>
      </c>
      <c r="F50" s="61">
        <f>F38-F43-F48</f>
        <v/>
      </c>
      <c r="G50" s="61">
        <f>G38-G43-G48</f>
        <v/>
      </c>
      <c r="H50" s="61">
        <f>H38-H43-H48</f>
        <v/>
      </c>
      <c r="I50" s="61">
        <f>I38-I43-I48</f>
        <v/>
      </c>
      <c r="J50" s="61">
        <f>J38-J43-J48</f>
        <v/>
      </c>
      <c r="K50" s="61">
        <f>K38-K43-K48</f>
        <v/>
      </c>
      <c r="L50" s="61">
        <f>L38-L43-L48</f>
        <v/>
      </c>
      <c r="M50" s="61">
        <f>M38-M43-M48</f>
        <v/>
      </c>
      <c r="N50" s="61">
        <f>N38-N43-N48</f>
        <v/>
      </c>
      <c r="O50" s="61">
        <f>O38-O43-O48</f>
        <v/>
      </c>
      <c r="P50" s="61">
        <f>P38-P43-P48</f>
        <v/>
      </c>
      <c r="Q50" s="61">
        <f>Q38-Q43-Q48</f>
        <v/>
      </c>
      <c r="R50" s="2" t="n"/>
      <c r="S50" s="2" t="n"/>
      <c r="T50" s="2" t="n"/>
      <c r="U50" s="2" t="n"/>
      <c r="V50" s="2" t="n"/>
      <c r="W50" s="2" t="n"/>
      <c r="X50" s="2" t="n"/>
      <c r="Y50" s="2" t="n"/>
      <c r="Z50" s="2" t="n"/>
      <c r="AA50" s="53" t="inlineStr">
        <is>
          <t>TA − TL − TE  (must = 0; non-zero ⇒ roll-forward inconsistency)</t>
        </is>
      </c>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row>
    <row r="53">
      <c r="A53" s="62" t="inlineStr">
        <is>
          <t>WC Days (Historical = formula from BS÷PL; Forecast = key input)</t>
        </is>
      </c>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row>
    <row r="54">
      <c r="A54" s="2" t="n"/>
      <c r="B54" s="43" t="inlineStr">
        <is>
          <t>FY24Q3</t>
        </is>
      </c>
      <c r="C54" s="43" t="inlineStr">
        <is>
          <t>FY24Q4</t>
        </is>
      </c>
      <c r="D54" s="43" t="inlineStr">
        <is>
          <t>FY25Q1</t>
        </is>
      </c>
      <c r="E54" s="43" t="inlineStr">
        <is>
          <t>FY25Q2</t>
        </is>
      </c>
      <c r="F54" s="43" t="inlineStr">
        <is>
          <t>FY25Q3</t>
        </is>
      </c>
      <c r="G54" s="43" t="inlineStr">
        <is>
          <t>FY25Q4</t>
        </is>
      </c>
      <c r="H54" s="43" t="inlineStr">
        <is>
          <t>FY26Q1</t>
        </is>
      </c>
      <c r="I54" s="43" t="inlineStr">
        <is>
          <t>FY26Q2</t>
        </is>
      </c>
      <c r="J54" s="49" t="inlineStr">
        <is>
          <t>FY26Q3</t>
        </is>
      </c>
      <c r="K54" s="49" t="inlineStr">
        <is>
          <t>FY26Q4</t>
        </is>
      </c>
      <c r="L54" s="49" t="inlineStr">
        <is>
          <t>FY27Q1</t>
        </is>
      </c>
      <c r="M54" s="49" t="inlineStr">
        <is>
          <t>FY27Q2</t>
        </is>
      </c>
      <c r="N54" s="49" t="inlineStr">
        <is>
          <t>FY27Q3</t>
        </is>
      </c>
      <c r="O54" s="49" t="inlineStr">
        <is>
          <t>FY27Q4</t>
        </is>
      </c>
      <c r="P54" s="49" t="inlineStr">
        <is>
          <t>FY28Q1</t>
        </is>
      </c>
      <c r="Q54" s="49" t="inlineStr">
        <is>
          <t>FY28Q2</t>
        </is>
      </c>
      <c r="R54" s="2" t="n"/>
      <c r="S54" s="2" t="n"/>
      <c r="T54" s="44" t="inlineStr">
        <is>
          <t>FY24</t>
        </is>
      </c>
      <c r="U54" s="44" t="inlineStr">
        <is>
          <t>FY25</t>
        </is>
      </c>
      <c r="V54" s="44" t="inlineStr">
        <is>
          <t>FY26</t>
        </is>
      </c>
      <c r="W54" s="44" t="inlineStr">
        <is>
          <t>FY27</t>
        </is>
      </c>
      <c r="X54" s="44" t="inlineStr">
        <is>
          <t>FY28</t>
        </is>
      </c>
      <c r="Y54" s="2" t="n"/>
      <c r="Z54" s="2" t="n"/>
      <c r="AA54" s="2" t="n"/>
    </row>
    <row r="55">
      <c r="A55" s="3" t="inlineStr">
        <is>
          <t>DSO (AR÷Sales×91)</t>
        </is>
      </c>
      <c r="B55" s="63">
        <f>FS!B31/FS!B4*91</f>
        <v/>
      </c>
      <c r="C55" s="63">
        <f>FS!C31/FS!C4*91</f>
        <v/>
      </c>
      <c r="D55" s="63">
        <f>FS!D31/FS!D4*91</f>
        <v/>
      </c>
      <c r="E55" s="63">
        <f>FS!E31/FS!E4*91</f>
        <v/>
      </c>
      <c r="F55" s="63">
        <f>FS!F31/FS!F4*91</f>
        <v/>
      </c>
      <c r="G55" s="63">
        <f>FS!G31/FS!G4*91</f>
        <v/>
      </c>
      <c r="H55" s="63">
        <f>FS!H31/FS!H4*91</f>
        <v/>
      </c>
      <c r="I55" s="63">
        <f>FS!I31/FS!I4*91</f>
        <v/>
      </c>
      <c r="J55" s="64" t="n">
        <v>61</v>
      </c>
      <c r="K55" s="64" t="n">
        <v>58</v>
      </c>
      <c r="L55" s="64" t="n">
        <v>65</v>
      </c>
      <c r="M55" s="64" t="n">
        <v>60</v>
      </c>
      <c r="N55" s="64" t="n">
        <v>61</v>
      </c>
      <c r="O55" s="64" t="n">
        <v>58</v>
      </c>
      <c r="P55" s="64" t="n">
        <v>65</v>
      </c>
      <c r="Q55" s="64" t="n">
        <v>60</v>
      </c>
      <c r="R55" s="2" t="n"/>
      <c r="S55" s="2" t="n"/>
      <c r="T55" s="65">
        <f>IF(ISBLANK(C55),"",C55)</f>
        <v/>
      </c>
      <c r="U55" s="65">
        <f>IF(ISBLANK(G55),"",G55)</f>
        <v/>
      </c>
      <c r="V55" s="65">
        <f>IF(ISBLANK(K55),"",K55)</f>
        <v/>
      </c>
      <c r="W55" s="65">
        <f>IF(ISBLANK(O55),"",O55)</f>
        <v/>
      </c>
      <c r="X55" s="65">
        <f>IF(ISBLANK(Q55),"",Q55)</f>
        <v/>
      </c>
      <c r="Y55" s="2" t="n"/>
      <c r="Z55" s="2" t="n"/>
      <c r="AA55" s="53" t="inlineStr">
        <is>
          <t>Key user input (yellow); historical = AR ÷ Sales × 91</t>
        </is>
      </c>
    </row>
    <row r="56">
      <c r="A56" s="3" t="inlineStr">
        <is>
          <t>DIO (Inv÷COGS×91)</t>
        </is>
      </c>
      <c r="B56" s="63">
        <f>FS!B32/FS!B5*91</f>
        <v/>
      </c>
      <c r="C56" s="63">
        <f>FS!C32/FS!C5*91</f>
        <v/>
      </c>
      <c r="D56" s="63">
        <f>FS!D32/FS!D5*91</f>
        <v/>
      </c>
      <c r="E56" s="63">
        <f>FS!E32/FS!E5*91</f>
        <v/>
      </c>
      <c r="F56" s="63">
        <f>FS!F32/FS!F5*91</f>
        <v/>
      </c>
      <c r="G56" s="63">
        <f>FS!G32/FS!G5*91</f>
        <v/>
      </c>
      <c r="H56" s="63">
        <f>FS!H32/FS!H5*91</f>
        <v/>
      </c>
      <c r="I56" s="63">
        <f>FS!I32/FS!I5*91</f>
        <v/>
      </c>
      <c r="J56" s="66">
        <f>Scenarios!F58</f>
        <v/>
      </c>
      <c r="K56" s="66">
        <f>Scenarios!G58</f>
        <v/>
      </c>
      <c r="L56" s="66">
        <f>Scenarios!H58</f>
        <v/>
      </c>
      <c r="M56" s="66">
        <f>Scenarios!I58</f>
        <v/>
      </c>
      <c r="N56" s="66">
        <f>Scenarios!J58</f>
        <v/>
      </c>
      <c r="O56" s="66">
        <f>Scenarios!K58</f>
        <v/>
      </c>
      <c r="P56" s="66">
        <f>Scenarios!L58</f>
        <v/>
      </c>
      <c r="Q56" s="66">
        <f>Scenarios!M58</f>
        <v/>
      </c>
      <c r="R56" s="2" t="n"/>
      <c r="S56" s="2" t="n"/>
      <c r="T56" s="65">
        <f>IF(ISBLANK(C56),"",C56)</f>
        <v/>
      </c>
      <c r="U56" s="65">
        <f>IF(ISBLANK(G56),"",G56)</f>
        <v/>
      </c>
      <c r="V56" s="65">
        <f>IF(ISBLANK(K56),"",K56)</f>
        <v/>
      </c>
      <c r="W56" s="65">
        <f>IF(ISBLANK(O56),"",O56)</f>
        <v/>
      </c>
      <c r="X56" s="65">
        <f>IF(ISBLANK(Q56),"",Q56)</f>
        <v/>
      </c>
      <c r="Y56" s="2" t="n"/>
      <c r="Z56" s="2" t="n"/>
      <c r="AA56" s="53" t="inlineStr">
        <is>
          <t>Key user input (yellow); historical = Inv ÷ COGS × 91</t>
        </is>
      </c>
    </row>
    <row r="57">
      <c r="A57" s="3" t="inlineStr">
        <is>
          <t>DPO (AP÷COGS×91)</t>
        </is>
      </c>
      <c r="B57" s="63">
        <f>FS!B40/FS!B5*91</f>
        <v/>
      </c>
      <c r="C57" s="63">
        <f>FS!C40/FS!C5*91</f>
        <v/>
      </c>
      <c r="D57" s="63">
        <f>FS!D40/FS!D5*91</f>
        <v/>
      </c>
      <c r="E57" s="63">
        <f>FS!E40/FS!E5*91</f>
        <v/>
      </c>
      <c r="F57" s="63">
        <f>FS!F40/FS!F5*91</f>
        <v/>
      </c>
      <c r="G57" s="63">
        <f>FS!G40/FS!G5*91</f>
        <v/>
      </c>
      <c r="H57" s="63">
        <f>FS!H40/FS!H5*91</f>
        <v/>
      </c>
      <c r="I57" s="63">
        <f>FS!I40/FS!I5*91</f>
        <v/>
      </c>
      <c r="J57" s="64" t="n">
        <v>71</v>
      </c>
      <c r="K57" s="64" t="n">
        <v>71</v>
      </c>
      <c r="L57" s="64" t="n">
        <v>75</v>
      </c>
      <c r="M57" s="64" t="n">
        <v>74</v>
      </c>
      <c r="N57" s="64" t="n">
        <v>71</v>
      </c>
      <c r="O57" s="64" t="n">
        <v>71</v>
      </c>
      <c r="P57" s="64" t="n">
        <v>75</v>
      </c>
      <c r="Q57" s="64" t="n">
        <v>74</v>
      </c>
      <c r="R57" s="2" t="n"/>
      <c r="S57" s="2" t="n"/>
      <c r="T57" s="65">
        <f>IF(ISBLANK(C57),"",C57)</f>
        <v/>
      </c>
      <c r="U57" s="65">
        <f>IF(ISBLANK(G57),"",G57)</f>
        <v/>
      </c>
      <c r="V57" s="65">
        <f>IF(ISBLANK(K57),"",K57)</f>
        <v/>
      </c>
      <c r="W57" s="65">
        <f>IF(ISBLANK(O57),"",O57)</f>
        <v/>
      </c>
      <c r="X57" s="65">
        <f>IF(ISBLANK(Q57),"",Q57)</f>
        <v/>
      </c>
      <c r="Y57" s="2" t="n"/>
      <c r="Z57" s="2" t="n"/>
      <c r="AA57" s="53" t="inlineStr">
        <is>
          <t>Key user input (yellow); historical = AP ÷ COGS × 91</t>
        </is>
      </c>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row>
    <row r="60">
      <c r="A60" s="48" t="inlineStr">
        <is>
          <t>Cash Flow (億) — JP cos report CF only at H1+FY. BLUE=actual, BLACK=formula, GREEN=cross-sheet, ORANGE=disclosed-FY.</t>
        </is>
      </c>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row>
    <row r="62">
      <c r="A62" s="6" t="inlineStr">
        <is>
          <t>Line Item</t>
        </is>
      </c>
      <c r="B62" s="43" t="inlineStr">
        <is>
          <t>FY24Q3</t>
        </is>
      </c>
      <c r="C62" s="43" t="inlineStr">
        <is>
          <t>FY24Q4</t>
        </is>
      </c>
      <c r="D62" s="43" t="inlineStr">
        <is>
          <t>FY25Q1</t>
        </is>
      </c>
      <c r="E62" s="43" t="inlineStr">
        <is>
          <t>FY25Q2</t>
        </is>
      </c>
      <c r="F62" s="43" t="inlineStr">
        <is>
          <t>FY25Q3</t>
        </is>
      </c>
      <c r="G62" s="43" t="inlineStr">
        <is>
          <t>FY25Q4</t>
        </is>
      </c>
      <c r="H62" s="43" t="inlineStr">
        <is>
          <t>FY26Q1</t>
        </is>
      </c>
      <c r="I62" s="43" t="inlineStr">
        <is>
          <t>FY26Q2</t>
        </is>
      </c>
      <c r="J62" s="49" t="inlineStr">
        <is>
          <t>FY26Q3</t>
        </is>
      </c>
      <c r="K62" s="49" t="inlineStr">
        <is>
          <t>FY26Q4</t>
        </is>
      </c>
      <c r="L62" s="49" t="inlineStr">
        <is>
          <t>FY27Q1</t>
        </is>
      </c>
      <c r="M62" s="49" t="inlineStr">
        <is>
          <t>FY27Q2</t>
        </is>
      </c>
      <c r="N62" s="49" t="inlineStr">
        <is>
          <t>FY27Q3</t>
        </is>
      </c>
      <c r="O62" s="49" t="inlineStr">
        <is>
          <t>FY27Q4</t>
        </is>
      </c>
      <c r="P62" s="49" t="inlineStr">
        <is>
          <t>FY28Q1</t>
        </is>
      </c>
      <c r="Q62" s="49" t="inlineStr">
        <is>
          <t>FY28Q2</t>
        </is>
      </c>
      <c r="R62" s="2" t="n"/>
      <c r="S62" s="2" t="n"/>
      <c r="T62" s="43" t="inlineStr">
        <is>
          <t>FY24</t>
        </is>
      </c>
      <c r="U62" s="43" t="inlineStr">
        <is>
          <t>FY25</t>
        </is>
      </c>
      <c r="V62" s="44" t="inlineStr">
        <is>
          <t>FY26</t>
        </is>
      </c>
      <c r="W62" s="44" t="inlineStr">
        <is>
          <t>FY27</t>
        </is>
      </c>
      <c r="X62" s="44" t="inlineStr">
        <is>
          <t>FY28</t>
        </is>
      </c>
      <c r="Y62" s="44" t="inlineStr">
        <is>
          <t>FY26 TOTAL</t>
        </is>
      </c>
      <c r="Z62" s="2" t="n"/>
      <c r="AA62" s="50" t="inlineStr">
        <is>
          <t>Forecast Formula (plain English)</t>
        </is>
      </c>
    </row>
    <row r="63">
      <c r="A63" s="3" t="inlineStr">
        <is>
          <t>OCF (営業CF)</t>
        </is>
      </c>
      <c r="B63" s="60" t="n">
        <v>71.2</v>
      </c>
      <c r="C63" s="60" t="n">
        <v>377.4</v>
      </c>
      <c r="D63" s="60" t="n">
        <v>94.5</v>
      </c>
      <c r="E63" s="60" t="n">
        <v>611.3</v>
      </c>
      <c r="F63" s="60" t="n">
        <v>152.4</v>
      </c>
      <c r="G63" s="60" t="n">
        <v>646.1</v>
      </c>
      <c r="H63" s="60" t="n">
        <v>100.6</v>
      </c>
      <c r="I63" s="60" t="n">
        <v>274.8</v>
      </c>
      <c r="J63" s="46">
        <f>J69+J70+J71</f>
        <v/>
      </c>
      <c r="K63" s="46">
        <f>K69+K70+K71</f>
        <v/>
      </c>
      <c r="L63" s="46">
        <f>L69+L70+L71</f>
        <v/>
      </c>
      <c r="M63" s="46">
        <f>M69+M70+M71</f>
        <v/>
      </c>
      <c r="N63" s="46">
        <f>N69+N70+N71</f>
        <v/>
      </c>
      <c r="O63" s="46">
        <f>O69+O70+O71</f>
        <v/>
      </c>
      <c r="P63" s="46">
        <f>P69+P70+P71</f>
        <v/>
      </c>
      <c r="Q63" s="46">
        <f>Q69+Q70+Q71</f>
        <v/>
      </c>
      <c r="R63" s="2" t="n"/>
      <c r="S63" s="2" t="n"/>
      <c r="T63" s="67" t="n">
        <v>1043.2</v>
      </c>
      <c r="U63" s="67" t="n">
        <v>1504.3</v>
      </c>
      <c r="V63" s="46">
        <f>IF(AND(ISBLANK(I63),ISBLANK(K63)),"",SUM(H63:K63))</f>
        <v/>
      </c>
      <c r="W63" s="46">
        <f>IF(AND(ISBLANK(M63),ISBLANK(O63)),"",SUM(L63:O63))</f>
        <v/>
      </c>
      <c r="X63" s="46">
        <f>IF(COUNTBLANK(P63:Q63)&gt;0,"",SUM(P63:Q63))</f>
        <v/>
      </c>
      <c r="Y63" s="34">
        <f>J63+K63+L63+M63+N63+O63+P63+Q63</f>
        <v/>
      </c>
      <c r="Z63" s="2" t="n"/>
      <c r="AA63" s="53" t="inlineStr">
        <is>
          <t>NI + D&amp;A + ΔWC</t>
        </is>
      </c>
    </row>
    <row r="64">
      <c r="A64" s="3" t="inlineStr">
        <is>
          <t>ICF (投資CF)</t>
        </is>
      </c>
      <c r="B64" s="60" t="n">
        <v>-187</v>
      </c>
      <c r="C64" s="60" t="n">
        <v>-96.09999999999999</v>
      </c>
      <c r="D64" s="60" t="n">
        <v>-187.6</v>
      </c>
      <c r="E64" s="60" t="n">
        <v>-1192.8</v>
      </c>
      <c r="F64" s="60" t="n">
        <v>-162.3</v>
      </c>
      <c r="G64" s="60" t="n">
        <v>-322.9</v>
      </c>
      <c r="H64" s="60" t="n">
        <v>-290.3</v>
      </c>
      <c r="I64" s="60" t="n">
        <v>-160.3</v>
      </c>
      <c r="J64" s="46">
        <f>-J73</f>
        <v/>
      </c>
      <c r="K64" s="46">
        <f>-K73</f>
        <v/>
      </c>
      <c r="L64" s="46">
        <f>-L73</f>
        <v/>
      </c>
      <c r="M64" s="46">
        <f>-M73</f>
        <v/>
      </c>
      <c r="N64" s="46">
        <f>-N73</f>
        <v/>
      </c>
      <c r="O64" s="46">
        <f>-O73</f>
        <v/>
      </c>
      <c r="P64" s="46">
        <f>-P73</f>
        <v/>
      </c>
      <c r="Q64" s="46">
        <f>-Q73</f>
        <v/>
      </c>
      <c r="R64" s="2" t="n"/>
      <c r="S64" s="2" t="n"/>
      <c r="T64" s="67" t="n">
        <v>-646.6</v>
      </c>
      <c r="U64" s="67" t="n">
        <v>-1865.6</v>
      </c>
      <c r="V64" s="46">
        <f>IF(AND(ISBLANK(I64),ISBLANK(K64)),"",SUM(H64:K64))</f>
        <v/>
      </c>
      <c r="W64" s="46">
        <f>IF(AND(ISBLANK(M64),ISBLANK(O64)),"",SUM(L64:O64))</f>
        <v/>
      </c>
      <c r="X64" s="46">
        <f>IF(COUNTBLANK(P64:Q64)&gt;0,"",SUM(P64:Q64))</f>
        <v/>
      </c>
      <c r="Y64" s="34">
        <f>J64+K64+L64+M64+N64+O64+P64+Q64</f>
        <v/>
      </c>
      <c r="Z64" s="2" t="n"/>
      <c r="AA64" s="53" t="inlineStr">
        <is>
          <t>− Capex</t>
        </is>
      </c>
    </row>
    <row r="65">
      <c r="A65" s="3" t="inlineStr">
        <is>
          <t>Financing CF (財務CF)</t>
        </is>
      </c>
      <c r="B65" s="60" t="n">
        <v>110.1</v>
      </c>
      <c r="C65" s="60" t="n">
        <v>-27.7</v>
      </c>
      <c r="D65" s="60" t="n">
        <v>-2</v>
      </c>
      <c r="E65" s="60" t="n">
        <v>577</v>
      </c>
      <c r="F65" s="60" t="n">
        <v>146.2</v>
      </c>
      <c r="G65" s="60" t="n">
        <v>-412.5</v>
      </c>
      <c r="H65" s="60" t="n">
        <v>175</v>
      </c>
      <c r="I65" s="60" t="n">
        <v>-141.9</v>
      </c>
      <c r="J65" s="46">
        <f>-J75-J76+J77</f>
        <v/>
      </c>
      <c r="K65" s="46">
        <f>-K75-K76+K77</f>
        <v/>
      </c>
      <c r="L65" s="46">
        <f>-L75-L76+L77</f>
        <v/>
      </c>
      <c r="M65" s="46">
        <f>-M75-M76+M77</f>
        <v/>
      </c>
      <c r="N65" s="46">
        <f>-N75-N76+N77</f>
        <v/>
      </c>
      <c r="O65" s="46">
        <f>-O75-O76+O77</f>
        <v/>
      </c>
      <c r="P65" s="46">
        <f>-P75-P76+P77</f>
        <v/>
      </c>
      <c r="Q65" s="46">
        <f>-Q75-Q76+Q77</f>
        <v/>
      </c>
      <c r="R65" s="2" t="n"/>
      <c r="S65" s="2" t="n"/>
      <c r="T65" s="67" t="n">
        <v>-356.2</v>
      </c>
      <c r="U65" s="67" t="n">
        <v>308.8</v>
      </c>
      <c r="V65" s="46">
        <f>IF(AND(ISBLANK(I65),ISBLANK(K65)),"",SUM(H65:K65))</f>
        <v/>
      </c>
      <c r="W65" s="46">
        <f>IF(AND(ISBLANK(M65),ISBLANK(O65)),"",SUM(L65:O65))</f>
        <v/>
      </c>
      <c r="X65" s="46">
        <f>IF(COUNTBLANK(P65:Q65)&gt;0,"",SUM(P65:Q65))</f>
        <v/>
      </c>
      <c r="Y65" s="34">
        <f>J65+K65+L65+M65+N65+O65+P65+Q65</f>
        <v/>
      </c>
      <c r="Z65" s="2" t="n"/>
      <c r="AA65" s="53" t="inlineStr">
        <is>
          <t>Financing CF (財務CF): − Dividends − Buyback + Net Debt Issuance</t>
        </is>
      </c>
    </row>
    <row r="66">
      <c r="A66" s="3" t="inlineStr">
        <is>
          <t>Net Δcash</t>
        </is>
      </c>
      <c r="B66" s="33">
        <f>B63+B64+B65</f>
        <v/>
      </c>
      <c r="C66" s="33">
        <f>C63+C64+C65</f>
        <v/>
      </c>
      <c r="D66" s="33">
        <f>D63+D64+D65</f>
        <v/>
      </c>
      <c r="E66" s="33">
        <f>E63+E64+E65</f>
        <v/>
      </c>
      <c r="F66" s="33">
        <f>F63+F64+F65</f>
        <v/>
      </c>
      <c r="G66" s="33">
        <f>G63+G64+G65</f>
        <v/>
      </c>
      <c r="H66" s="33">
        <f>H63+H64+H65</f>
        <v/>
      </c>
      <c r="I66" s="33">
        <f>I63+I64+I65</f>
        <v/>
      </c>
      <c r="J66" s="33">
        <f>J63+J64+J65</f>
        <v/>
      </c>
      <c r="K66" s="33">
        <f>K63+K64+K65</f>
        <v/>
      </c>
      <c r="L66" s="33">
        <f>L63+L64+L65</f>
        <v/>
      </c>
      <c r="M66" s="33">
        <f>M63+M64+M65</f>
        <v/>
      </c>
      <c r="N66" s="33">
        <f>N63+N64+N65</f>
        <v/>
      </c>
      <c r="O66" s="33">
        <f>O63+O64+O65</f>
        <v/>
      </c>
      <c r="P66" s="33">
        <f>P63+P64+P65</f>
        <v/>
      </c>
      <c r="Q66" s="33">
        <f>Q63+Q64+Q65</f>
        <v/>
      </c>
      <c r="R66" s="2" t="n"/>
      <c r="S66" s="2" t="n"/>
      <c r="T66" s="46">
        <f>IF(COUNTBLANK(B66:C66)&gt;0,"",SUM(B66:C66))</f>
        <v/>
      </c>
      <c r="U66" s="46">
        <f>IF(AND(ISBLANK(E66),ISBLANK(G66)),"",SUM(D66:G66))</f>
        <v/>
      </c>
      <c r="V66" s="46">
        <f>IF(AND(ISBLANK(I66),ISBLANK(K66)),"",SUM(H66:K66))</f>
        <v/>
      </c>
      <c r="W66" s="46">
        <f>IF(AND(ISBLANK(M66),ISBLANK(O66)),"",SUM(L66:O66))</f>
        <v/>
      </c>
      <c r="X66" s="46">
        <f>IF(COUNTBLANK(P66:Q66)&gt;0,"",SUM(P66:Q66))</f>
        <v/>
      </c>
      <c r="Y66" s="34">
        <f>J66+K66+L66+M66+N66+O66+P66+Q66</f>
        <v/>
      </c>
      <c r="Z66" s="2" t="n"/>
      <c r="AA66" s="53" t="inlineStr">
        <is>
          <t>OCF + ICF + Financing CF</t>
        </is>
      </c>
    </row>
    <row r="67">
      <c r="A67" s="3" t="inlineStr">
        <is>
          <t>Free CF (OCF+ICF)</t>
        </is>
      </c>
      <c r="B67" s="34">
        <f>B63+B64</f>
        <v/>
      </c>
      <c r="C67" s="34">
        <f>C63+C64</f>
        <v/>
      </c>
      <c r="D67" s="34">
        <f>D63+D64</f>
        <v/>
      </c>
      <c r="E67" s="34">
        <f>E63+E64</f>
        <v/>
      </c>
      <c r="F67" s="34">
        <f>F63+F64</f>
        <v/>
      </c>
      <c r="G67" s="34">
        <f>G63+G64</f>
        <v/>
      </c>
      <c r="H67" s="34">
        <f>H63+H64</f>
        <v/>
      </c>
      <c r="I67" s="34">
        <f>I63+I64</f>
        <v/>
      </c>
      <c r="J67" s="34">
        <f>J63+J64</f>
        <v/>
      </c>
      <c r="K67" s="34">
        <f>K63+K64</f>
        <v/>
      </c>
      <c r="L67" s="34">
        <f>L63+L64</f>
        <v/>
      </c>
      <c r="M67" s="34">
        <f>M63+M64</f>
        <v/>
      </c>
      <c r="N67" s="34">
        <f>N63+N64</f>
        <v/>
      </c>
      <c r="O67" s="34">
        <f>O63+O64</f>
        <v/>
      </c>
      <c r="P67" s="34">
        <f>P63+P64</f>
        <v/>
      </c>
      <c r="Q67" s="34">
        <f>Q63+Q64</f>
        <v/>
      </c>
      <c r="R67" s="2" t="n"/>
      <c r="S67" s="2" t="n"/>
      <c r="T67" s="34">
        <f>T63+T64</f>
        <v/>
      </c>
      <c r="U67" s="34">
        <f>U63+U64</f>
        <v/>
      </c>
      <c r="V67" s="34">
        <f>V63+V64</f>
        <v/>
      </c>
      <c r="W67" s="34">
        <f>W63+W64</f>
        <v/>
      </c>
      <c r="X67" s="34">
        <f>X63+X64</f>
        <v/>
      </c>
      <c r="Y67" s="34">
        <f>Y63+Y64</f>
        <v/>
      </c>
      <c r="Z67" s="2" t="n"/>
      <c r="AA67" s="53" t="inlineStr">
        <is>
          <t>Free CF = OCF + ICF  (= 会社フリーCF)</t>
        </is>
      </c>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row>
    <row r="69">
      <c r="A69" s="3" t="inlineStr">
        <is>
          <t xml:space="preserve">  + NI</t>
        </is>
      </c>
      <c r="B69" s="7">
        <f>FS!B18</f>
        <v/>
      </c>
      <c r="C69" s="7">
        <f>FS!C18</f>
        <v/>
      </c>
      <c r="D69" s="7">
        <f>FS!D18</f>
        <v/>
      </c>
      <c r="E69" s="7">
        <f>FS!E18</f>
        <v/>
      </c>
      <c r="F69" s="7">
        <f>FS!F18</f>
        <v/>
      </c>
      <c r="G69" s="7">
        <f>FS!G18</f>
        <v/>
      </c>
      <c r="H69" s="7">
        <f>FS!H18</f>
        <v/>
      </c>
      <c r="I69" s="7">
        <f>FS!I18</f>
        <v/>
      </c>
      <c r="J69" s="51">
        <f>FS!J18</f>
        <v/>
      </c>
      <c r="K69" s="51">
        <f>FS!K18</f>
        <v/>
      </c>
      <c r="L69" s="51">
        <f>FS!L18</f>
        <v/>
      </c>
      <c r="M69" s="51">
        <f>FS!M18</f>
        <v/>
      </c>
      <c r="N69" s="51">
        <f>FS!N18</f>
        <v/>
      </c>
      <c r="O69" s="51">
        <f>FS!O18</f>
        <v/>
      </c>
      <c r="P69" s="51">
        <f>FS!P18</f>
        <v/>
      </c>
      <c r="Q69" s="51">
        <f>FS!Q18</f>
        <v/>
      </c>
      <c r="R69" s="2" t="n"/>
      <c r="S69" s="2" t="n"/>
      <c r="T69" s="45">
        <f>IF(COUNTBLANK(B69:C69)&gt;0,"",SUM(B69:C69))</f>
        <v/>
      </c>
      <c r="U69" s="45">
        <f>IF(AND(ISBLANK(E69),ISBLANK(G69)),"",SUM(D69:G69))</f>
        <v/>
      </c>
      <c r="V69" s="45">
        <f>IF(AND(ISBLANK(I69),ISBLANK(K69)),"",SUM(H69:K69))</f>
        <v/>
      </c>
      <c r="W69" s="45">
        <f>IF(AND(ISBLANK(M69),ISBLANK(O69)),"",SUM(L69:O69))</f>
        <v/>
      </c>
      <c r="X69" s="45">
        <f>IF(COUNTBLANK(P69:Q69)&gt;0,"",SUM(P69:Q69))</f>
        <v/>
      </c>
      <c r="Y69" s="2" t="n"/>
      <c r="Z69" s="2" t="n"/>
      <c r="AA69" s="53" t="inlineStr">
        <is>
          <t>from PL Net Income</t>
        </is>
      </c>
    </row>
    <row r="70">
      <c r="A70" s="3" t="inlineStr">
        <is>
          <t xml:space="preserve">  + D&amp;A</t>
        </is>
      </c>
      <c r="B70" s="8" t="n">
        <v>209</v>
      </c>
      <c r="C70" s="8" t="n">
        <v>206.3</v>
      </c>
      <c r="D70" s="8" t="n">
        <v>183.2</v>
      </c>
      <c r="E70" s="8" t="n">
        <v>196.4</v>
      </c>
      <c r="F70" s="8" t="n">
        <v>205.1</v>
      </c>
      <c r="G70" s="8" t="n">
        <v>201.9</v>
      </c>
      <c r="H70" s="8" t="n">
        <v>217</v>
      </c>
      <c r="I70" s="8" t="n">
        <v>216.3</v>
      </c>
      <c r="J70" s="51">
        <f>FS!I36*FS!$B$100</f>
        <v/>
      </c>
      <c r="K70" s="51">
        <f>FS!J36*FS!$B$100</f>
        <v/>
      </c>
      <c r="L70" s="51">
        <f>FS!K36*FS!$B$100</f>
        <v/>
      </c>
      <c r="M70" s="51">
        <f>FS!L36*FS!$B$100</f>
        <v/>
      </c>
      <c r="N70" s="51">
        <f>FS!M36*FS!$B$100</f>
        <v/>
      </c>
      <c r="O70" s="51">
        <f>FS!N36*FS!$B$100</f>
        <v/>
      </c>
      <c r="P70" s="51">
        <f>FS!O36*FS!$B$100</f>
        <v/>
      </c>
      <c r="Q70" s="51">
        <f>FS!P36*FS!$B$100</f>
        <v/>
      </c>
      <c r="R70" s="2" t="n"/>
      <c r="S70" s="2" t="n"/>
      <c r="T70" s="45">
        <f>IF(COUNTBLANK(B70:C70)&gt;0,"",SUM(B70:C70))</f>
        <v/>
      </c>
      <c r="U70" s="45">
        <f>IF(AND(ISBLANK(E70),ISBLANK(G70)),"",SUM(D70:G70))</f>
        <v/>
      </c>
      <c r="V70" s="45">
        <f>IF(AND(ISBLANK(I70),ISBLANK(K70)),"",SUM(H70:K70))</f>
        <v/>
      </c>
      <c r="W70" s="45">
        <f>IF(AND(ISBLANK(M70),ISBLANK(O70)),"",SUM(L70:O70))</f>
        <v/>
      </c>
      <c r="X70" s="45">
        <f>IF(COUNTBLANK(P70:Q70)&gt;0,"",SUM(P70:Q70))</f>
        <v/>
      </c>
      <c r="Y70" s="2" t="n"/>
      <c r="Z70" s="2" t="n"/>
      <c r="AA70" s="53" t="inlineStr">
        <is>
          <t>Prior PPE × 4.39%/Q  (calibrated to the disclosed guide 210億/Q at the latest PPE; rises with PPE thereafter)  (depreciation)</t>
        </is>
      </c>
    </row>
    <row r="71">
      <c r="A71" s="3" t="inlineStr">
        <is>
          <t xml:space="preserve">  + ΔWC</t>
        </is>
      </c>
      <c r="B71" s="2" t="n"/>
      <c r="C71" s="7">
        <f>-(FS!C31-FS!B31)-(FS!C32-FS!B32)+(FS!C40-FS!B40)</f>
        <v/>
      </c>
      <c r="D71" s="7">
        <f>-(FS!D31-FS!C31)-(FS!D32-FS!C32)+(FS!D40-FS!C40)</f>
        <v/>
      </c>
      <c r="E71" s="7">
        <f>-(FS!E31-FS!D31)-(FS!E32-FS!D32)+(FS!E40-FS!D40)</f>
        <v/>
      </c>
      <c r="F71" s="7">
        <f>-(FS!F31-FS!E31)-(FS!F32-FS!E32)+(FS!F40-FS!E40)</f>
        <v/>
      </c>
      <c r="G71" s="7">
        <f>-(FS!G31-FS!F31)-(FS!G32-FS!F32)+(FS!G40-FS!F40)</f>
        <v/>
      </c>
      <c r="H71" s="7">
        <f>-(FS!H31-FS!G31)-(FS!H32-FS!G32)+(FS!H40-FS!G40)</f>
        <v/>
      </c>
      <c r="I71" s="7">
        <f>-(FS!I31-FS!H31)-(FS!I32-FS!H32)+(FS!I40-FS!H40)</f>
        <v/>
      </c>
      <c r="J71" s="51">
        <f>-(FS!J31-FS!I31)-(FS!J32-FS!I32)+(FS!J40-FS!I40)</f>
        <v/>
      </c>
      <c r="K71" s="51">
        <f>-(FS!K31-FS!J31)-(FS!K32-FS!J32)+(FS!K40-FS!J40)</f>
        <v/>
      </c>
      <c r="L71" s="51">
        <f>-(FS!L31-FS!K31)-(FS!L32-FS!K32)+(FS!L40-FS!K40)</f>
        <v/>
      </c>
      <c r="M71" s="51">
        <f>-(FS!M31-FS!L31)-(FS!M32-FS!L32)+(FS!M40-FS!L40)</f>
        <v/>
      </c>
      <c r="N71" s="51">
        <f>-(FS!N31-FS!M31)-(FS!N32-FS!M32)+(FS!N40-FS!M40)</f>
        <v/>
      </c>
      <c r="O71" s="51">
        <f>-(FS!O31-FS!N31)-(FS!O32-FS!N32)+(FS!O40-FS!N40)</f>
        <v/>
      </c>
      <c r="P71" s="51">
        <f>-(FS!P31-FS!O31)-(FS!P32-FS!O32)+(FS!P40-FS!O40)</f>
        <v/>
      </c>
      <c r="Q71" s="51">
        <f>-(FS!Q31-FS!P31)-(FS!Q32-FS!P32)+(FS!Q40-FS!P40)</f>
        <v/>
      </c>
      <c r="R71" s="2" t="n"/>
      <c r="S71" s="2" t="n"/>
      <c r="T71" s="45">
        <f>IF(COUNTBLANK(B71:C71)&gt;0,"",SUM(B71:C71))</f>
        <v/>
      </c>
      <c r="U71" s="45">
        <f>IF(AND(ISBLANK(E71),ISBLANK(G71)),"",SUM(D71:G71))</f>
        <v/>
      </c>
      <c r="V71" s="45">
        <f>IF(AND(ISBLANK(I71),ISBLANK(K71)),"",SUM(H71:K71))</f>
        <v/>
      </c>
      <c r="W71" s="45">
        <f>IF(AND(ISBLANK(M71),ISBLANK(O71)),"",SUM(L71:O71))</f>
        <v/>
      </c>
      <c r="X71" s="45">
        <f>IF(COUNTBLANK(P71:Q71)&gt;0,"",SUM(P71:Q71))</f>
        <v/>
      </c>
      <c r="Y71" s="2" t="n"/>
      <c r="Z71" s="2" t="n"/>
      <c r="AA71" s="53" t="inlineStr">
        <is>
          <t>− ΔAR − ΔInv + ΔAP  (working capital change)</t>
        </is>
      </c>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row>
    <row r="73">
      <c r="A73" s="3" t="inlineStr">
        <is>
          <t xml:space="preserve">  − Capex</t>
        </is>
      </c>
      <c r="B73" s="8" t="n">
        <v>144.7</v>
      </c>
      <c r="C73" s="8" t="n">
        <v>151.9</v>
      </c>
      <c r="D73" s="8" t="n">
        <v>134.6</v>
      </c>
      <c r="E73" s="8" t="n">
        <v>167.5</v>
      </c>
      <c r="F73" s="8" t="n">
        <v>115.9</v>
      </c>
      <c r="G73" s="8" t="n">
        <v>171</v>
      </c>
      <c r="H73" s="8" t="n">
        <v>249.9</v>
      </c>
      <c r="I73" s="8" t="n">
        <v>169</v>
      </c>
      <c r="J73" s="45">
        <f>$B$80</f>
        <v/>
      </c>
      <c r="K73" s="45">
        <f>$B$80</f>
        <v/>
      </c>
      <c r="L73" s="45">
        <f>$B$80</f>
        <v/>
      </c>
      <c r="M73" s="45">
        <f>$B$80</f>
        <v/>
      </c>
      <c r="N73" s="45">
        <f>$B$80</f>
        <v/>
      </c>
      <c r="O73" s="45">
        <f>$B$80</f>
        <v/>
      </c>
      <c r="P73" s="45">
        <f>$B$80</f>
        <v/>
      </c>
      <c r="Q73" s="45">
        <f>$B$80</f>
        <v/>
      </c>
      <c r="R73" s="2" t="n"/>
      <c r="S73" s="2" t="n"/>
      <c r="T73" s="45">
        <f>IF(COUNTBLANK(B73:C73)&gt;0,"",SUM(B73:C73))</f>
        <v/>
      </c>
      <c r="U73" s="45">
        <f>IF(AND(ISBLANK(E73),ISBLANK(G73)),"",SUM(D73:G73))</f>
        <v/>
      </c>
      <c r="V73" s="45">
        <f>IF(AND(ISBLANK(I73),ISBLANK(K73)),"",SUM(H73:K73))</f>
        <v/>
      </c>
      <c r="W73" s="45">
        <f>IF(AND(ISBLANK(M73),ISBLANK(O73)),"",SUM(L73:O73))</f>
        <v/>
      </c>
      <c r="X73" s="45">
        <f>IF(COUNTBLANK(P73:Q73)&gt;0,"",SUM(P73:Q73))</f>
        <v/>
      </c>
      <c r="Y73" s="34">
        <f>J73+K73+L73+M73+N73+O73+P73+Q73</f>
        <v/>
      </c>
      <c r="Z73" s="2" t="n"/>
      <c r="AA73" s="53" t="inlineStr">
        <is>
          <t>Capex/Q assumption (176.0億, edit on Summary)</t>
        </is>
      </c>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row>
    <row r="75">
      <c r="A75" s="3" t="inlineStr">
        <is>
          <t xml:space="preserve">  − Dividends</t>
        </is>
      </c>
      <c r="B75" s="8" t="n">
        <v>75.09999999999999</v>
      </c>
      <c r="C75" s="8" t="n">
        <v>1.2</v>
      </c>
      <c r="D75" s="8" t="n">
        <v>75.09999999999999</v>
      </c>
      <c r="E75" s="8" t="n">
        <v>1.2</v>
      </c>
      <c r="F75" s="8" t="n">
        <v>90.5</v>
      </c>
      <c r="G75" s="8" t="n">
        <v>1.4</v>
      </c>
      <c r="H75" s="8" t="n">
        <v>108.8</v>
      </c>
      <c r="I75" s="8" t="n">
        <v>1.5</v>
      </c>
      <c r="J75" s="51">
        <f>FS!J23*FS!J21/100</f>
        <v/>
      </c>
      <c r="K75" s="51">
        <f>FS!K23*FS!K21/100</f>
        <v/>
      </c>
      <c r="L75" s="51">
        <f>FS!L23*FS!L21/100</f>
        <v/>
      </c>
      <c r="M75" s="51">
        <f>FS!M23*FS!M21/100</f>
        <v/>
      </c>
      <c r="N75" s="51">
        <f>FS!N23*FS!N21/100</f>
        <v/>
      </c>
      <c r="O75" s="51">
        <f>FS!O23*FS!O21/100</f>
        <v/>
      </c>
      <c r="P75" s="51">
        <f>FS!P23*FS!P21/100</f>
        <v/>
      </c>
      <c r="Q75" s="51">
        <f>FS!Q23*FS!Q21/100</f>
        <v/>
      </c>
      <c r="R75" s="2" t="n"/>
      <c r="S75" s="2" t="n"/>
      <c r="T75" s="45">
        <f>IF(COUNTBLANK(B75:C75)&gt;0,"",SUM(B75:C75))</f>
        <v/>
      </c>
      <c r="U75" s="45">
        <f>IF(AND(ISBLANK(E75),ISBLANK(G75)),"",SUM(D75:G75))</f>
        <v/>
      </c>
      <c r="V75" s="45">
        <f>IF(AND(ISBLANK(I75),ISBLANK(K75)),"",SUM(H75:K75))</f>
        <v/>
      </c>
      <c r="W75" s="45">
        <f>IF(AND(ISBLANK(M75),ISBLANK(O75)),"",SUM(L75:O75))</f>
        <v/>
      </c>
      <c r="X75" s="45">
        <f>IF(COUNTBLANK(P75:Q75)&gt;0,"",SUM(P75:Q75))</f>
        <v/>
      </c>
      <c r="Y75" s="34">
        <f>J75+K75+L75+M75+N75+O75+P75+Q75</f>
        <v/>
      </c>
      <c r="Z75" s="2" t="n"/>
      <c r="AA75" s="53" t="inlineStr">
        <is>
          <t>DPS × Shares (M) / 100</t>
        </is>
      </c>
    </row>
    <row r="76">
      <c r="A76" s="3" t="inlineStr">
        <is>
          <t xml:space="preserve">  − Buyback</t>
        </is>
      </c>
      <c r="B76" s="2" t="n"/>
      <c r="C76" s="2" t="n"/>
      <c r="D76" s="2" t="n"/>
      <c r="E76" s="2" t="n"/>
      <c r="F76" s="2" t="n"/>
      <c r="G76" s="2" t="n"/>
      <c r="H76" s="2" t="n"/>
      <c r="I76" s="2" t="n"/>
      <c r="J76" s="45">
        <f>$B$81</f>
        <v/>
      </c>
      <c r="K76" s="45">
        <f>$B$81</f>
        <v/>
      </c>
      <c r="L76" s="45">
        <f>$B$81</f>
        <v/>
      </c>
      <c r="M76" s="45">
        <f>$B$81</f>
        <v/>
      </c>
      <c r="N76" s="45">
        <f>$B$81</f>
        <v/>
      </c>
      <c r="O76" s="45">
        <f>$B$81</f>
        <v/>
      </c>
      <c r="P76" s="45">
        <f>$B$81</f>
        <v/>
      </c>
      <c r="Q76" s="45">
        <f>$B$81</f>
        <v/>
      </c>
      <c r="R76" s="2" t="n"/>
      <c r="S76" s="2" t="n"/>
      <c r="T76" s="45">
        <f>IF(COUNTBLANK(B76:C76)&gt;0,"",SUM(B76:C76))</f>
        <v/>
      </c>
      <c r="U76" s="45">
        <f>IF(AND(ISBLANK(E76),ISBLANK(G76)),"",SUM(D76:G76))</f>
        <v/>
      </c>
      <c r="V76" s="45">
        <f>IF(AND(ISBLANK(I76),ISBLANK(K76)),"",SUM(H76:K76))</f>
        <v/>
      </c>
      <c r="W76" s="45">
        <f>IF(AND(ISBLANK(M76),ISBLANK(O76)),"",SUM(L76:O76))</f>
        <v/>
      </c>
      <c r="X76" s="45">
        <f>IF(COUNTBLANK(P76:Q76)&gt;0,"",SUM(P76:Q76))</f>
        <v/>
      </c>
      <c r="Y76" s="2" t="n"/>
      <c r="Z76" s="2" t="n"/>
      <c r="AA76" s="53" t="inlineStr">
        <is>
          <t>Buyback/Q assumption (edit on Summary; seeded from tdnet when announced)</t>
        </is>
      </c>
    </row>
    <row r="77">
      <c r="A77" s="3" t="inlineStr">
        <is>
          <t xml:space="preserve">  + Net Debt Iss</t>
        </is>
      </c>
      <c r="B77" s="2" t="n"/>
      <c r="C77" s="7">
        <f>FS!C41-FS!B41</f>
        <v/>
      </c>
      <c r="D77" s="7">
        <f>FS!D41-FS!C41</f>
        <v/>
      </c>
      <c r="E77" s="7">
        <f>FS!E41-FS!D41</f>
        <v/>
      </c>
      <c r="F77" s="7">
        <f>FS!F41-FS!E41</f>
        <v/>
      </c>
      <c r="G77" s="7">
        <f>FS!G41-FS!F41</f>
        <v/>
      </c>
      <c r="H77" s="7">
        <f>FS!H41-FS!G41</f>
        <v/>
      </c>
      <c r="I77" s="7">
        <f>FS!I41-FS!H41</f>
        <v/>
      </c>
      <c r="J77" s="8" t="n">
        <v>0</v>
      </c>
      <c r="K77" s="8" t="n">
        <v>0</v>
      </c>
      <c r="L77" s="8" t="n">
        <v>0</v>
      </c>
      <c r="M77" s="8" t="n">
        <v>0</v>
      </c>
      <c r="N77" s="8" t="n">
        <v>0</v>
      </c>
      <c r="O77" s="8" t="n">
        <v>0</v>
      </c>
      <c r="P77" s="8" t="n">
        <v>0</v>
      </c>
      <c r="Q77" s="8" t="n">
        <v>0</v>
      </c>
      <c r="R77" s="2" t="n"/>
      <c r="S77" s="2" t="n"/>
      <c r="T77" s="45">
        <f>IF(COUNTBLANK(B77:C77)&gt;0,"",SUM(B77:C77))</f>
        <v/>
      </c>
      <c r="U77" s="45">
        <f>IF(AND(ISBLANK(E77),ISBLANK(G77)),"",SUM(D77:G77))</f>
        <v/>
      </c>
      <c r="V77" s="45">
        <f>IF(AND(ISBLANK(I77),ISBLANK(K77)),"",SUM(H77:K77))</f>
        <v/>
      </c>
      <c r="W77" s="45">
        <f>IF(AND(ISBLANK(M77),ISBLANK(O77)),"",SUM(L77:O77))</f>
        <v/>
      </c>
      <c r="X77" s="45">
        <f>IF(COUNTBLANK(P77:Q77)&gt;0,"",SUM(P77:Q77))</f>
        <v/>
      </c>
      <c r="Y77" s="2" t="n"/>
      <c r="Z77" s="2" t="n"/>
      <c r="AA77" s="53" t="inlineStr">
        <is>
          <t>Held = 0</t>
        </is>
      </c>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row>
    <row r="80">
      <c r="A80" s="3" t="inlineStr">
        <is>
          <t>Capex per Q (億)  [edit on Summary B22]</t>
        </is>
      </c>
      <c r="B80" s="7">
        <f>FS!$B$95</f>
        <v/>
      </c>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row>
    <row r="81">
      <c r="A81" s="3" t="inlineStr">
        <is>
          <t>Buyback per Q (億)  [edit on Summary B23]</t>
        </is>
      </c>
      <c r="B81" s="7">
        <f>FS!$B$96</f>
        <v/>
      </c>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row>
    <row r="84">
      <c r="A84" s="62" t="inlineStr">
        <is>
          <t>Live Assumptions  ─ edit cells in column B; only forward periods recompute</t>
        </is>
      </c>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row>
    <row r="85">
      <c r="A85" s="2" t="inlineStr">
        <is>
          <t>Tax rate %</t>
        </is>
      </c>
      <c r="B85" s="68" t="n">
        <v>31.2</v>
      </c>
      <c r="C85" s="69" t="inlineStr">
        <is>
          <t>ΣTax/ΣPretax actual (ratio-of-sums), n=16</t>
        </is>
      </c>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row>
    <row r="86">
      <c r="A86" s="2" t="inlineStr">
        <is>
          <t>NonOp/OP %</t>
        </is>
      </c>
      <c r="B86" s="68" t="n">
        <v>-4.3</v>
      </c>
      <c r="C86" s="69" t="inlineStr">
        <is>
          <t>直近6四半期(FY25Q1-FY26Q2) Σ税前1155.5 ÷ ΣOP1207.4 − 1。減損期FY24Q3を除外</t>
        </is>
      </c>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row>
    <row r="87">
      <c r="A87" s="2" t="inlineStr">
        <is>
          <t>SG&amp;A/Sales %</t>
        </is>
      </c>
      <c r="B87" s="68" t="n">
        <v>24</v>
      </c>
      <c r="C87" s="69" t="inlineStr">
        <is>
          <t>yaml override (recent run-rate)</t>
        </is>
      </c>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row>
    <row r="88">
      <c r="A88" s="2" t="inlineStr">
        <is>
          <t>Payout %</t>
        </is>
      </c>
      <c r="B88" s="68" t="n">
        <v>40</v>
      </c>
      <c r="C88" s="69" t="inlineStr">
        <is>
          <t>config: fixed policy</t>
        </is>
      </c>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row>
    <row r="89">
      <c r="A89" s="2" t="inlineStr">
        <is>
          <t>Shares (M)</t>
        </is>
      </c>
      <c r="B89" s="8" t="n">
        <v>262.8</v>
      </c>
      <c r="C89" s="69" t="inlineStr">
        <is>
          <t>fins_summary ShOutFY(263M)-TrShFY(0M)</t>
        </is>
      </c>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row>
    <row r="90">
      <c r="A90" s="2" t="inlineStr">
        <is>
          <t>PPE/TA ratio</t>
        </is>
      </c>
      <c r="B90" s="35" t="n">
        <v>0.341</v>
      </c>
      <c r="C90" s="69" t="inlineStr">
        <is>
          <t>5y mean PPE/TA from fins_details, n=19</t>
        </is>
      </c>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row>
    <row r="91">
      <c r="A91" s="2" t="inlineStr">
        <is>
          <t>RE/Eq ratio</t>
        </is>
      </c>
      <c r="B91" s="35" t="n">
        <v>0.803</v>
      </c>
      <c r="C91" s="69" t="inlineStr">
        <is>
          <t>5y mean RE/Eq from fins_details, n=19</t>
        </is>
      </c>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row>
    <row r="92">
      <c r="A92" s="2" t="inlineStr">
        <is>
          <t>DSO (days)</t>
        </is>
      </c>
      <c r="B92" s="70" t="n">
        <v>61</v>
      </c>
      <c r="C92" s="69" t="inlineStr">
        <is>
          <t>実績8四半期(FY24Q3-FY26Q2) AR÷売上×91 の平均。FY25末残高2,093.2億は有報XBRLと一致</t>
        </is>
      </c>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row>
    <row r="93">
      <c r="A93" s="2" t="inlineStr">
        <is>
          <t>DIO (days)</t>
        </is>
      </c>
      <c r="B93" s="70" t="n">
        <v>130</v>
      </c>
      <c r="C93" s="69" t="inlineStr">
        <is>
          <t>実績8四半期 棚卸資産÷売上原価×91 の平均。FY25末残高2,981.2億は有報XBRLと一致</t>
        </is>
      </c>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row>
    <row r="94">
      <c r="A94" s="2" t="inlineStr">
        <is>
          <t>DPO (days)</t>
        </is>
      </c>
      <c r="B94" s="70" t="n">
        <v>73</v>
      </c>
      <c r="C94" s="69" t="inlineStr">
        <is>
          <t>実績8四半期 仕入債務÷売上原価×91 の平均。FY25末残高1,810.5億は有報XBRLと一致</t>
        </is>
      </c>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row>
    <row r="95">
      <c r="A95" s="2" t="inlineStr">
        <is>
          <t>Capex/Q (億)</t>
        </is>
      </c>
      <c r="B95" s="71" t="n">
        <v>176</v>
      </c>
      <c r="C95" s="69" t="inlineStr">
        <is>
          <t>yaml override (disclosed)</t>
        </is>
      </c>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row>
    <row r="96">
      <c r="A96" s="2" t="inlineStr">
        <is>
          <t>Buyback/Q (億)</t>
        </is>
      </c>
      <c r="B96" s="71" t="n">
        <v>0</v>
      </c>
      <c r="C96" s="69" t="inlineStr">
        <is>
          <t>default (no announcement)</t>
        </is>
      </c>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row>
    <row r="97">
      <c r="A97" s="2" t="inlineStr">
        <is>
          <t>Beta (5y vs TPX)</t>
        </is>
      </c>
      <c r="B97" s="38" t="n">
        <v>1.074</v>
      </c>
      <c r="C97" s="69" t="inlineStr">
        <is>
          <t>daily-return OLS vs TOPIX, 5y window</t>
        </is>
      </c>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row>
    <row r="98">
      <c r="A98" s="2" t="inlineStr">
        <is>
          <t>WACC %</t>
        </is>
      </c>
      <c r="B98" s="31" t="n">
        <v>6.87</v>
      </c>
      <c r="C98" s="69" t="inlineStr">
        <is>
          <t>equity-only (Rf + β × ERP); net-cash firm</t>
        </is>
      </c>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row>
    <row r="99">
      <c r="A99" s="2" t="inlineStr">
        <is>
          <t>Buyback Avg Px (¥)</t>
        </is>
      </c>
      <c r="B99" s="72" t="n">
        <v>1919</v>
      </c>
      <c r="C99" s="69" t="inlineStr">
        <is>
          <t>user input</t>
        </is>
      </c>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row>
    <row r="100">
      <c r="A100" s="2" t="inlineStr">
        <is>
          <t>D&amp;A rate / Q</t>
        </is>
      </c>
      <c r="B100" s="73" t="n">
        <v>0.0439</v>
      </c>
      <c r="C100" s="69" t="inlineStr">
        <is>
          <t>yaml da_per_q_oku 210億 ÷ latest PPE 4,783億 (disclosed guide, not 5y ratio)</t>
        </is>
      </c>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row>
    <row r="101">
      <c r="A101" s="2" t="inlineStr">
        <is>
          <t>Minority/Pretax %</t>
        </is>
      </c>
      <c r="B101" s="68" t="n">
        <v>3.7</v>
      </c>
      <c r="C101" s="69" t="inlineStr">
        <is>
          <t>税前が正の直近7四半期 Σ(税前-税-親会社NP)45.7 ÷ Σ税前1241.2</t>
        </is>
      </c>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9"/>
  <sheetViews>
    <sheetView workbookViewId="0">
      <selection activeCell="A1" sqref="A1"/>
    </sheetView>
  </sheetViews>
  <sheetFormatPr baseColWidth="8" defaultRowHeight="15"/>
  <cols>
    <col width="36" customWidth="1" min="1" max="1"/>
    <col width="16" customWidth="1" min="2" max="2"/>
    <col width="16" customWidth="1" min="3" max="3"/>
    <col width="16" customWidth="1" min="4" max="4"/>
    <col width="24" customWidth="1" min="6" max="6"/>
    <col width="12" customWidth="1" min="7" max="7"/>
    <col width="12" customWidth="1" min="8" max="8"/>
    <col width="11" customWidth="1" min="9" max="9"/>
    <col width="10" customWidth="1" min="10" max="10"/>
    <col width="10" customWidth="1" min="11" max="11"/>
  </cols>
  <sheetData>
    <row r="1">
      <c r="A1" s="48" t="inlineStr">
        <is>
          <t>Sumitomo Rubber Industries Valuation — LEFT=DCF/PE/PB + verdict; RIGHT=5y multiples history</t>
        </is>
      </c>
      <c r="B1" s="2" t="n"/>
      <c r="C1" s="2" t="n"/>
      <c r="D1" s="2" t="n"/>
      <c r="E1" s="2" t="n"/>
      <c r="F1" s="2" t="n"/>
      <c r="G1" s="2" t="n"/>
      <c r="H1" s="2" t="n"/>
      <c r="I1" s="2" t="n"/>
      <c r="J1" s="2" t="n"/>
      <c r="K1" s="2" t="n"/>
    </row>
    <row r="2">
      <c r="A2" s="74" t="inlineStr">
        <is>
          <t>BLUE=input, BLACK=formula, GREEN=cross-sheet</t>
        </is>
      </c>
      <c r="B2" s="2" t="n"/>
      <c r="C2" s="2" t="n"/>
      <c r="D2" s="2" t="n"/>
      <c r="E2" s="2" t="n"/>
      <c r="F2" s="2" t="n"/>
      <c r="G2" s="2" t="n"/>
      <c r="H2" s="2" t="n"/>
      <c r="I2" s="2" t="n"/>
      <c r="J2" s="2" t="n"/>
      <c r="K2" s="2" t="n"/>
    </row>
    <row r="3">
      <c r="A3" s="62" t="inlineStr">
        <is>
          <t>Method 1: DCF (FCFF, equity-only)</t>
        </is>
      </c>
      <c r="B3" s="2" t="n"/>
      <c r="C3" s="2" t="n"/>
      <c r="D3" s="2" t="n"/>
      <c r="E3" s="2" t="n"/>
      <c r="F3" s="62" t="inlineStr">
        <is>
          <t>MULTIPLES HISTORY (5y, split-adjusted)</t>
        </is>
      </c>
      <c r="G3" s="2" t="n"/>
      <c r="H3" s="2" t="n"/>
      <c r="I3" s="2" t="n"/>
      <c r="J3" s="2" t="n"/>
      <c r="K3" s="2" t="n"/>
    </row>
    <row r="4">
      <c r="A4" s="3" t="inlineStr">
        <is>
          <t>FY+1 FCF (億, OCF+ICF)</t>
        </is>
      </c>
      <c r="B4" s="7">
        <f>IFERROR((FS!H63+FS!I63+FS!J63+FS!K63)+(FS!H64+FS!I64+FS!J64+FS!K64),"")</f>
        <v/>
      </c>
      <c r="C4" s="2" t="n"/>
      <c r="D4" s="2" t="n"/>
      <c r="E4" s="2" t="n"/>
      <c r="F4" s="43" t="inlineStr">
        <is>
          <t>Stat</t>
        </is>
      </c>
      <c r="G4" s="43" t="inlineStr">
        <is>
          <t>P/E</t>
        </is>
      </c>
      <c r="H4" s="43" t="inlineStr">
        <is>
          <t>P/B</t>
        </is>
      </c>
      <c r="I4" s="2" t="n"/>
      <c r="J4" s="2" t="n"/>
      <c r="K4" s="2" t="n"/>
    </row>
    <row r="5">
      <c r="A5" s="2" t="inlineStr">
        <is>
          <t>FCF growth Y2-Y5 %</t>
        </is>
      </c>
      <c r="B5" s="68" t="n">
        <v>5</v>
      </c>
      <c r="C5" s="2" t="n"/>
      <c r="D5" s="2" t="n"/>
      <c r="E5" s="2" t="n"/>
      <c r="F5" s="2" t="inlineStr">
        <is>
          <t>Mean</t>
        </is>
      </c>
      <c r="G5" s="19" t="n">
        <v>17.46</v>
      </c>
      <c r="H5" s="19" t="n">
        <v>0.6899999999999999</v>
      </c>
      <c r="I5" s="2" t="n"/>
      <c r="J5" s="2" t="n"/>
      <c r="K5" s="2" t="n"/>
    </row>
    <row r="6">
      <c r="A6" s="2" t="inlineStr">
        <is>
          <t>Terminal growth %</t>
        </is>
      </c>
      <c r="B6" s="68" t="n">
        <v>2</v>
      </c>
      <c r="C6" s="2" t="n"/>
      <c r="D6" s="2" t="n"/>
      <c r="E6" s="2" t="n"/>
      <c r="F6" s="2" t="inlineStr">
        <is>
          <t>Median</t>
        </is>
      </c>
      <c r="G6" s="19" t="n">
        <v>12.04</v>
      </c>
      <c r="H6" s="19" t="n">
        <v>0.6899999999999999</v>
      </c>
      <c r="I6" s="2" t="n"/>
      <c r="J6" s="2" t="n"/>
      <c r="K6" s="2" t="n"/>
    </row>
    <row r="7">
      <c r="A7" s="2" t="inlineStr">
        <is>
          <t xml:space="preserve">  Rf % (10y JGB)</t>
        </is>
      </c>
      <c r="B7" s="68" t="n">
        <v>1.5</v>
      </c>
      <c r="C7" s="2" t="n"/>
      <c r="D7" s="2" t="n"/>
      <c r="E7" s="2" t="n"/>
      <c r="F7" s="2" t="inlineStr">
        <is>
          <t>StdDev</t>
        </is>
      </c>
      <c r="G7" s="19" t="n">
        <v>18.17</v>
      </c>
      <c r="H7" s="19" t="n">
        <v>0.11</v>
      </c>
      <c r="I7" s="2" t="n"/>
      <c r="J7" s="2" t="n"/>
      <c r="K7" s="2" t="n"/>
    </row>
    <row r="8">
      <c r="A8" s="2" t="inlineStr">
        <is>
          <t xml:space="preserve">  ERP % (JP equity premium)</t>
        </is>
      </c>
      <c r="B8" s="68" t="n">
        <v>5</v>
      </c>
      <c r="C8" s="2" t="n"/>
      <c r="D8" s="2" t="n"/>
      <c r="E8" s="2" t="n"/>
      <c r="F8" s="2" t="inlineStr">
        <is>
          <t>Mean +1SD</t>
        </is>
      </c>
      <c r="G8" s="19" t="n">
        <v>35.62</v>
      </c>
      <c r="H8" s="19" t="n">
        <v>0.8</v>
      </c>
      <c r="I8" s="2" t="n"/>
      <c r="J8" s="2" t="n"/>
      <c r="K8" s="2" t="n"/>
    </row>
    <row r="9">
      <c r="A9" s="2" t="inlineStr">
        <is>
          <t xml:space="preserve">  Beta (5y vs TOPIX)</t>
        </is>
      </c>
      <c r="B9" s="35" t="n">
        <v>1.074</v>
      </c>
      <c r="C9" s="2" t="n"/>
      <c r="D9" s="2" t="n"/>
      <c r="E9" s="2" t="n"/>
      <c r="F9" s="2" t="inlineStr">
        <is>
          <t>Mean −1SD</t>
        </is>
      </c>
      <c r="G9" s="19" t="n">
        <v>-0.71</v>
      </c>
      <c r="H9" s="19" t="n">
        <v>0.58</v>
      </c>
      <c r="I9" s="2" t="n"/>
      <c r="J9" s="2" t="n"/>
      <c r="K9" s="2" t="n"/>
    </row>
    <row r="10">
      <c r="A10" s="3" t="inlineStr">
        <is>
          <t>WACC % = Rf + β × ERP</t>
        </is>
      </c>
      <c r="B10" s="75">
        <f>B7+B9*B8</f>
        <v/>
      </c>
      <c r="C10" s="2" t="n"/>
      <c r="D10" s="2" t="n"/>
      <c r="E10" s="2" t="n"/>
      <c r="F10" s="3" t="inlineStr">
        <is>
          <t>CURRENT</t>
        </is>
      </c>
      <c r="G10" s="19" t="n">
        <v>8.58</v>
      </c>
      <c r="H10" s="19" t="n">
        <v>0.7</v>
      </c>
      <c r="I10" s="2" t="n"/>
      <c r="J10" s="2" t="n"/>
      <c r="K10" s="2" t="n"/>
    </row>
    <row r="11">
      <c r="A11" s="3" t="inlineStr">
        <is>
          <t>Stub: days to FY end ÷ 365.25</t>
        </is>
      </c>
      <c r="B11" s="39">
        <f>(DATE(YEAR(TODAY())+IF(MONTH(TODAY())&gt;12,1,0),12+1,0)-TODAY())/365.25</f>
        <v/>
      </c>
      <c r="C11" s="2" t="n"/>
      <c r="D11" s="2" t="n"/>
      <c r="E11" s="2" t="n"/>
      <c r="F11" s="2" t="inlineStr">
        <is>
          <t>Pct Rank %</t>
        </is>
      </c>
      <c r="G11" s="19" t="n">
        <v>22.47</v>
      </c>
      <c r="H11" s="19" t="n">
        <v>56.72</v>
      </c>
      <c r="I11" s="2" t="n"/>
      <c r="J11" s="2" t="n"/>
      <c r="K11" s="2" t="n"/>
    </row>
    <row r="12">
      <c r="A12" s="2" t="inlineStr">
        <is>
          <t>Mid-year convention: Y1 discount=stub/2, Yn≥2 = stub + (n-1) - 0.5</t>
        </is>
      </c>
      <c r="B12" s="2" t="n"/>
      <c r="C12" s="2" t="n"/>
      <c r="D12" s="2" t="n"/>
      <c r="E12" s="2" t="n"/>
      <c r="F12" s="2" t="n"/>
      <c r="G12" s="2" t="n"/>
      <c r="H12" s="2" t="n"/>
      <c r="I12" s="2" t="n"/>
      <c r="J12" s="2" t="n"/>
      <c r="K12" s="2" t="n"/>
    </row>
    <row r="13">
      <c r="A13" s="2" t="inlineStr">
        <is>
          <t>Y1</t>
        </is>
      </c>
      <c r="B13" s="33">
        <f>B4</f>
        <v/>
      </c>
      <c r="C13" s="39">
        <f>1/(1+$B$10/100)^($B$11/2)</f>
        <v/>
      </c>
      <c r="D13" s="33">
        <f>B13*C13</f>
        <v/>
      </c>
      <c r="E13" s="2" t="n"/>
      <c r="F13" s="3" t="inlineStr">
        <is>
          <t>Current Price (¥)</t>
        </is>
      </c>
      <c r="G13" s="76" t="n">
        <v>2020</v>
      </c>
      <c r="H13" s="2" t="n"/>
      <c r="I13" s="2" t="n"/>
      <c r="J13" s="2" t="n"/>
      <c r="K13" s="2" t="n"/>
    </row>
    <row r="14">
      <c r="A14" s="2" t="inlineStr">
        <is>
          <t>Y2</t>
        </is>
      </c>
      <c r="B14" s="33">
        <f>B13*(1+$B$5/100)</f>
        <v/>
      </c>
      <c r="C14" s="39">
        <f>1/(1+$B$10/100)^($B$11+2-1-0.5)</f>
        <v/>
      </c>
      <c r="D14" s="33">
        <f>B14*C14</f>
        <v/>
      </c>
      <c r="E14" s="2" t="n"/>
      <c r="F14" s="2" t="inlineStr">
        <is>
          <t>Current TTM EPS (¥)</t>
        </is>
      </c>
      <c r="G14" s="11" t="n">
        <v>235.39</v>
      </c>
      <c r="H14" s="2" t="n"/>
      <c r="I14" s="2" t="n"/>
      <c r="J14" s="2" t="n"/>
      <c r="K14" s="2" t="n"/>
    </row>
    <row r="15">
      <c r="A15" s="2" t="inlineStr">
        <is>
          <t>Y3</t>
        </is>
      </c>
      <c r="B15" s="33">
        <f>B14*(1+$B$5/100)</f>
        <v/>
      </c>
      <c r="C15" s="39">
        <f>1/(1+$B$10/100)^($B$11+3-1-0.5)</f>
        <v/>
      </c>
      <c r="D15" s="33">
        <f>B15*C15</f>
        <v/>
      </c>
      <c r="E15" s="2" t="n"/>
      <c r="F15" s="2" t="inlineStr">
        <is>
          <t>Current BPS (¥)</t>
        </is>
      </c>
      <c r="G15" s="11" t="n">
        <v>2869.5</v>
      </c>
      <c r="H15" s="2" t="n"/>
      <c r="I15" s="2" t="n"/>
      <c r="J15" s="2" t="n"/>
      <c r="K15" s="2" t="n"/>
    </row>
    <row r="16">
      <c r="A16" s="2" t="inlineStr">
        <is>
          <t>Y4</t>
        </is>
      </c>
      <c r="B16" s="33">
        <f>B15*(1+$B$5/100)</f>
        <v/>
      </c>
      <c r="C16" s="39">
        <f>1/(1+$B$10/100)^($B$11+4-1-0.5)</f>
        <v/>
      </c>
      <c r="D16" s="33">
        <f>B16*C16</f>
        <v/>
      </c>
      <c r="E16" s="2" t="n"/>
      <c r="F16" s="2" t="n"/>
      <c r="G16" s="2" t="n"/>
      <c r="H16" s="2" t="n"/>
      <c r="I16" s="2" t="n"/>
      <c r="J16" s="2" t="n"/>
      <c r="K16" s="2" t="n"/>
    </row>
    <row r="17">
      <c r="A17" s="2" t="inlineStr">
        <is>
          <t>Y5</t>
        </is>
      </c>
      <c r="B17" s="33">
        <f>B16*(1+$B$5/100)</f>
        <v/>
      </c>
      <c r="C17" s="39">
        <f>1/(1+$B$10/100)^($B$11+5-1-0.5)</f>
        <v/>
      </c>
      <c r="D17" s="33">
        <f>B17*C17</f>
        <v/>
      </c>
      <c r="E17" s="2" t="n"/>
      <c r="F17" s="62" t="inlineStr">
        <is>
          <t>Recent 30 days</t>
        </is>
      </c>
      <c r="G17" s="2" t="n"/>
      <c r="H17" s="2" t="n"/>
      <c r="I17" s="2" t="n"/>
      <c r="J17" s="2" t="n"/>
      <c r="K17" s="2" t="n"/>
    </row>
    <row r="18">
      <c r="A18" s="2" t="n"/>
      <c r="B18" s="2" t="n"/>
      <c r="C18" s="2" t="n"/>
      <c r="D18" s="2" t="n"/>
      <c r="E18" s="2" t="n"/>
      <c r="F18" s="6" t="inlineStr">
        <is>
          <t>Date</t>
        </is>
      </c>
      <c r="G18" s="6" t="inlineStr">
        <is>
          <t>Close</t>
        </is>
      </c>
      <c r="H18" s="6" t="inlineStr">
        <is>
          <t>TTM EPS</t>
        </is>
      </c>
      <c r="I18" s="6" t="inlineStr">
        <is>
          <t>BPS</t>
        </is>
      </c>
      <c r="J18" s="6" t="inlineStr">
        <is>
          <t>P/E</t>
        </is>
      </c>
      <c r="K18" s="6" t="inlineStr">
        <is>
          <t>P/B</t>
        </is>
      </c>
    </row>
    <row r="19">
      <c r="A19" s="3" t="inlineStr">
        <is>
          <t>Terminal (discounted at end-of-Y5 = stub + 4.5)</t>
        </is>
      </c>
      <c r="B19" s="33">
        <f>B17*(1+$B$6/100)/(($B$10-$B$6)/100)</f>
        <v/>
      </c>
      <c r="C19" s="39">
        <f>1/(1+$B$10/100)^($B$11+4.5)</f>
        <v/>
      </c>
      <c r="D19" s="33">
        <f>B19*C19</f>
        <v/>
      </c>
      <c r="E19" s="2" t="n"/>
      <c r="F19" s="2" t="inlineStr">
        <is>
          <t>2026-08-13</t>
        </is>
      </c>
      <c r="G19" s="13" t="n">
        <v>2377</v>
      </c>
      <c r="H19" s="11" t="n">
        <v>235.39</v>
      </c>
      <c r="I19" s="11" t="n">
        <v>2869.5</v>
      </c>
      <c r="J19" s="19" t="n">
        <v>10.1</v>
      </c>
      <c r="K19" s="19" t="n">
        <v>0.83</v>
      </c>
    </row>
    <row r="20">
      <c r="A20" s="2" t="n"/>
      <c r="B20" s="2" t="n"/>
      <c r="C20" s="2" t="n"/>
      <c r="D20" s="2" t="n"/>
      <c r="E20" s="2" t="n"/>
      <c r="F20" s="2" t="inlineStr">
        <is>
          <t>2026-08-14</t>
        </is>
      </c>
      <c r="G20" s="13" t="n">
        <v>2397</v>
      </c>
      <c r="H20" s="11" t="n">
        <v>235.39</v>
      </c>
      <c r="I20" s="11" t="n">
        <v>2869.5</v>
      </c>
      <c r="J20" s="19" t="n">
        <v>10.19</v>
      </c>
      <c r="K20" s="19" t="n">
        <v>0.84</v>
      </c>
    </row>
    <row r="21">
      <c r="A21" s="3" t="inlineStr">
        <is>
          <t>Enterprise Value (億)</t>
        </is>
      </c>
      <c r="B21" s="34">
        <f>SUM(D13:D17)+D19</f>
        <v/>
      </c>
      <c r="C21" s="2" t="n"/>
      <c r="D21" s="2" t="n"/>
      <c r="E21" s="2" t="n"/>
      <c r="F21" s="2" t="inlineStr">
        <is>
          <t>2026-08-17</t>
        </is>
      </c>
      <c r="G21" s="13" t="n">
        <v>2360</v>
      </c>
      <c r="H21" s="11" t="n">
        <v>235.39</v>
      </c>
      <c r="I21" s="11" t="n">
        <v>2869.5</v>
      </c>
      <c r="J21" s="19" t="n">
        <v>10.03</v>
      </c>
      <c r="K21" s="19" t="n">
        <v>0.82</v>
      </c>
    </row>
    <row r="22">
      <c r="A22" s="2" t="inlineStr">
        <is>
          <t>Net Cash = Cash − Debt (FY26Q2 actual)</t>
        </is>
      </c>
      <c r="B22" s="7">
        <f>FS!I30-FS!I41</f>
        <v/>
      </c>
      <c r="C22" s="2" t="n"/>
      <c r="D22" s="2" t="n"/>
      <c r="E22" s="2" t="n"/>
      <c r="F22" s="2" t="inlineStr">
        <is>
          <t>2026-08-18</t>
        </is>
      </c>
      <c r="G22" s="13" t="n">
        <v>2311</v>
      </c>
      <c r="H22" s="11" t="n">
        <v>235.39</v>
      </c>
      <c r="I22" s="11" t="n">
        <v>2869.5</v>
      </c>
      <c r="J22" s="19" t="n">
        <v>9.82</v>
      </c>
      <c r="K22" s="19" t="n">
        <v>0.8100000000000001</v>
      </c>
    </row>
    <row r="23">
      <c r="A23" s="3" t="inlineStr">
        <is>
          <t>Equity Value (億)</t>
        </is>
      </c>
      <c r="B23" s="34">
        <f>B21+B22</f>
        <v/>
      </c>
      <c r="C23" s="2" t="n"/>
      <c r="D23" s="2" t="n"/>
      <c r="E23" s="2" t="n"/>
      <c r="F23" s="2" t="inlineStr">
        <is>
          <t>2026-08-19</t>
        </is>
      </c>
      <c r="G23" s="13" t="n">
        <v>2243</v>
      </c>
      <c r="H23" s="11" t="n">
        <v>235.39</v>
      </c>
      <c r="I23" s="11" t="n">
        <v>2869.5</v>
      </c>
      <c r="J23" s="19" t="n">
        <v>9.529999999999999</v>
      </c>
      <c r="K23" s="19" t="n">
        <v>0.78</v>
      </c>
    </row>
    <row r="24">
      <c r="A24" s="2" t="inlineStr">
        <is>
          <t>Shares (M)</t>
        </is>
      </c>
      <c r="B24" s="8" t="n">
        <v>262.9</v>
      </c>
      <c r="C24" s="2" t="n"/>
      <c r="D24" s="2" t="n"/>
      <c r="E24" s="2" t="n"/>
      <c r="F24" s="2" t="inlineStr">
        <is>
          <t>2026-08-20</t>
        </is>
      </c>
      <c r="G24" s="13" t="n">
        <v>2296</v>
      </c>
      <c r="H24" s="11" t="n">
        <v>235.39</v>
      </c>
      <c r="I24" s="11" t="n">
        <v>2869.5</v>
      </c>
      <c r="J24" s="19" t="n">
        <v>9.75</v>
      </c>
      <c r="K24" s="19" t="n">
        <v>0.8</v>
      </c>
    </row>
    <row r="25">
      <c r="A25" s="3" t="inlineStr">
        <is>
          <t>DCF implied price (¥)</t>
        </is>
      </c>
      <c r="B25" s="77">
        <f>B23*100/B24</f>
        <v/>
      </c>
      <c r="C25" s="2" t="n"/>
      <c r="D25" s="2" t="n"/>
      <c r="E25" s="2" t="n"/>
      <c r="F25" s="2" t="inlineStr">
        <is>
          <t>2026-08-21</t>
        </is>
      </c>
      <c r="G25" s="13" t="n">
        <v>2297</v>
      </c>
      <c r="H25" s="11" t="n">
        <v>235.39</v>
      </c>
      <c r="I25" s="11" t="n">
        <v>2869.5</v>
      </c>
      <c r="J25" s="19" t="n">
        <v>9.76</v>
      </c>
      <c r="K25" s="19" t="n">
        <v>0.8</v>
      </c>
    </row>
    <row r="26">
      <c r="A26" s="2" t="inlineStr">
        <is>
          <t xml:space="preserve">  Net Cash floor (¥)</t>
        </is>
      </c>
      <c r="B26" s="57">
        <f>B22*100/B24</f>
        <v/>
      </c>
      <c r="C26" s="2" t="n"/>
      <c r="D26" s="2" t="n"/>
      <c r="E26" s="2" t="n"/>
      <c r="F26" s="2" t="inlineStr">
        <is>
          <t>2026-08-24</t>
        </is>
      </c>
      <c r="G26" s="13" t="n">
        <v>2325</v>
      </c>
      <c r="H26" s="11" t="n">
        <v>235.39</v>
      </c>
      <c r="I26" s="11" t="n">
        <v>2869.5</v>
      </c>
      <c r="J26" s="19" t="n">
        <v>9.880000000000001</v>
      </c>
      <c r="K26" s="19" t="n">
        <v>0.8100000000000001</v>
      </c>
    </row>
    <row r="27">
      <c r="A27" s="2" t="n"/>
      <c r="B27" s="2" t="n"/>
      <c r="C27" s="2" t="n"/>
      <c r="D27" s="2" t="n"/>
      <c r="E27" s="2" t="n"/>
      <c r="F27" s="2" t="inlineStr">
        <is>
          <t>2026-08-25</t>
        </is>
      </c>
      <c r="G27" s="13" t="n">
        <v>2290</v>
      </c>
      <c r="H27" s="11" t="n">
        <v>235.39</v>
      </c>
      <c r="I27" s="11" t="n">
        <v>2869.5</v>
      </c>
      <c r="J27" s="19" t="n">
        <v>9.73</v>
      </c>
      <c r="K27" s="19" t="n">
        <v>0.8</v>
      </c>
    </row>
    <row r="28">
      <c r="A28" s="62" t="inlineStr">
        <is>
          <t>Method 2: P/E range (NTM blend)</t>
        </is>
      </c>
      <c r="B28" s="2" t="n"/>
      <c r="C28" s="2" t="n"/>
      <c r="D28" s="2" t="n"/>
      <c r="E28" s="2" t="n"/>
      <c r="F28" s="2" t="inlineStr">
        <is>
          <t>2026-08-26</t>
        </is>
      </c>
      <c r="G28" s="13" t="n">
        <v>2302</v>
      </c>
      <c r="H28" s="11" t="n">
        <v>235.39</v>
      </c>
      <c r="I28" s="11" t="n">
        <v>2869.5</v>
      </c>
      <c r="J28" s="19" t="n">
        <v>9.779999999999999</v>
      </c>
      <c r="K28" s="19" t="n">
        <v>0.8</v>
      </c>
    </row>
    <row r="29">
      <c r="A29" s="3" t="inlineStr">
        <is>
          <t>Blend weight on FY+1 (auto = days→FY end / 365)</t>
        </is>
      </c>
      <c r="B29" s="78">
        <f>MAX(0,MIN(1,1-(TODAY()-DATE(YEAR(TODAY())-IF(MONTH(TODAY())&gt;12,0,1),12+1,0))/365.25))</f>
        <v/>
      </c>
      <c r="C29" s="2" t="n"/>
      <c r="D29" s="2" t="n"/>
      <c r="E29" s="2" t="n"/>
      <c r="F29" s="2" t="inlineStr">
        <is>
          <t>2026-08-27</t>
        </is>
      </c>
      <c r="G29" s="13" t="n">
        <v>2243</v>
      </c>
      <c r="H29" s="11" t="n">
        <v>235.39</v>
      </c>
      <c r="I29" s="11" t="n">
        <v>2869.5</v>
      </c>
      <c r="J29" s="19" t="n">
        <v>9.529999999999999</v>
      </c>
      <c r="K29" s="19" t="n">
        <v>0.78</v>
      </c>
    </row>
    <row r="30">
      <c r="A30" s="2" t="inlineStr">
        <is>
          <t>FY+1 EPS forecast (¥, sum of 4Q)</t>
        </is>
      </c>
      <c r="B30" s="12">
        <f>FS!H22+FS!I22+FS!J22+FS!K22</f>
        <v/>
      </c>
      <c r="C30" s="2" t="n"/>
      <c r="D30" s="2" t="n"/>
      <c r="E30" s="2" t="n"/>
      <c r="F30" s="2" t="inlineStr">
        <is>
          <t>2026-08-28</t>
        </is>
      </c>
      <c r="G30" s="13" t="n">
        <v>2223</v>
      </c>
      <c r="H30" s="11" t="n">
        <v>235.39</v>
      </c>
      <c r="I30" s="11" t="n">
        <v>2869.5</v>
      </c>
      <c r="J30" s="19" t="n">
        <v>9.449999999999999</v>
      </c>
      <c r="K30" s="19" t="n">
        <v>0.77</v>
      </c>
    </row>
    <row r="31">
      <c r="A31" s="2" t="inlineStr">
        <is>
          <t>FY+2 EPS forecast (¥, sum of 4Q)</t>
        </is>
      </c>
      <c r="B31" s="12">
        <f>FS!L22+FS!M22+FS!N22+FS!O22</f>
        <v/>
      </c>
      <c r="C31" s="2" t="n"/>
      <c r="D31" s="2" t="n"/>
      <c r="E31" s="2" t="n"/>
      <c r="F31" s="2" t="inlineStr">
        <is>
          <t>2026-08-31</t>
        </is>
      </c>
      <c r="G31" s="13" t="n">
        <v>2245</v>
      </c>
      <c r="H31" s="11" t="n">
        <v>235.39</v>
      </c>
      <c r="I31" s="11" t="n">
        <v>2869.5</v>
      </c>
      <c r="J31" s="19" t="n">
        <v>9.539999999999999</v>
      </c>
      <c r="K31" s="19" t="n">
        <v>0.78</v>
      </c>
    </row>
    <row r="32">
      <c r="A32" s="3" t="inlineStr">
        <is>
          <t>NTM EPS = w·FY+1 + (1−w)·FY+2</t>
        </is>
      </c>
      <c r="B32" s="77">
        <f>B29*B30+(1-B29)*B31</f>
        <v/>
      </c>
      <c r="C32" s="2" t="n"/>
      <c r="D32" s="2" t="n"/>
      <c r="E32" s="2" t="n"/>
      <c r="F32" s="2" t="inlineStr">
        <is>
          <t>2026-09-01</t>
        </is>
      </c>
      <c r="G32" s="13" t="n">
        <v>2292</v>
      </c>
      <c r="H32" s="11" t="n">
        <v>235.39</v>
      </c>
      <c r="I32" s="11" t="n">
        <v>2869.5</v>
      </c>
      <c r="J32" s="19" t="n">
        <v>9.74</v>
      </c>
      <c r="K32" s="19" t="n">
        <v>0.8</v>
      </c>
    </row>
    <row r="33">
      <c r="A33" s="2" t="inlineStr">
        <is>
          <t>5y mean P/E</t>
        </is>
      </c>
      <c r="B33" s="12">
        <f>Valuation!G5</f>
        <v/>
      </c>
      <c r="C33" s="2" t="n"/>
      <c r="D33" s="2" t="n"/>
      <c r="E33" s="2" t="n"/>
      <c r="F33" s="2" t="inlineStr">
        <is>
          <t>2026-09-02</t>
        </is>
      </c>
      <c r="G33" s="13" t="n">
        <v>2160</v>
      </c>
      <c r="H33" s="11" t="n">
        <v>235.39</v>
      </c>
      <c r="I33" s="11" t="n">
        <v>2869.5</v>
      </c>
      <c r="J33" s="19" t="n">
        <v>9.18</v>
      </c>
      <c r="K33" s="19" t="n">
        <v>0.75</v>
      </c>
    </row>
    <row r="34">
      <c r="A34" s="2" t="inlineStr">
        <is>
          <t>5y +1SD P/E</t>
        </is>
      </c>
      <c r="B34" s="12">
        <f>Valuation!G8</f>
        <v/>
      </c>
      <c r="C34" s="2" t="n"/>
      <c r="D34" s="2" t="n"/>
      <c r="E34" s="2" t="n"/>
      <c r="F34" s="2" t="inlineStr">
        <is>
          <t>2026-09-03</t>
        </is>
      </c>
      <c r="G34" s="13" t="n">
        <v>2168</v>
      </c>
      <c r="H34" s="11" t="n">
        <v>235.39</v>
      </c>
      <c r="I34" s="11" t="n">
        <v>2869.5</v>
      </c>
      <c r="J34" s="19" t="n">
        <v>9.210000000000001</v>
      </c>
      <c r="K34" s="19" t="n">
        <v>0.76</v>
      </c>
    </row>
    <row r="35">
      <c r="A35" s="2" t="inlineStr">
        <is>
          <t>5y −1SD P/E</t>
        </is>
      </c>
      <c r="B35" s="12">
        <f>Valuation!G9</f>
        <v/>
      </c>
      <c r="C35" s="2" t="n"/>
      <c r="D35" s="2" t="n"/>
      <c r="E35" s="2" t="n"/>
      <c r="F35" s="2" t="inlineStr">
        <is>
          <t>2026-09-04</t>
        </is>
      </c>
      <c r="G35" s="13" t="n">
        <v>2099</v>
      </c>
      <c r="H35" s="11" t="n">
        <v>235.39</v>
      </c>
      <c r="I35" s="11" t="n">
        <v>2869.5</v>
      </c>
      <c r="J35" s="19" t="n">
        <v>8.92</v>
      </c>
      <c r="K35" s="19" t="n">
        <v>0.73</v>
      </c>
    </row>
    <row r="36">
      <c r="A36" s="3" t="inlineStr">
        <is>
          <t>Implied @mean (NTM)</t>
        </is>
      </c>
      <c r="B36" s="77">
        <f>B32*B33</f>
        <v/>
      </c>
      <c r="C36" s="2" t="n"/>
      <c r="D36" s="2" t="n"/>
      <c r="E36" s="2" t="n"/>
      <c r="F36" s="2" t="inlineStr">
        <is>
          <t>2026-09-07</t>
        </is>
      </c>
      <c r="G36" s="13" t="n">
        <v>2085</v>
      </c>
      <c r="H36" s="11" t="n">
        <v>235.39</v>
      </c>
      <c r="I36" s="11" t="n">
        <v>2869.5</v>
      </c>
      <c r="J36" s="19" t="n">
        <v>8.859999999999999</v>
      </c>
      <c r="K36" s="19" t="n">
        <v>0.73</v>
      </c>
    </row>
    <row r="37">
      <c r="A37" s="2" t="inlineStr">
        <is>
          <t>Implied @+1SD</t>
        </is>
      </c>
      <c r="B37" s="57">
        <f>B32*B34</f>
        <v/>
      </c>
      <c r="C37" s="2" t="n"/>
      <c r="D37" s="2" t="n"/>
      <c r="E37" s="2" t="n"/>
      <c r="F37" s="2" t="inlineStr">
        <is>
          <t>2026-09-08</t>
        </is>
      </c>
      <c r="G37" s="13" t="n">
        <v>1985</v>
      </c>
      <c r="H37" s="11" t="n">
        <v>235.39</v>
      </c>
      <c r="I37" s="11" t="n">
        <v>2869.5</v>
      </c>
      <c r="J37" s="19" t="n">
        <v>8.43</v>
      </c>
      <c r="K37" s="19" t="n">
        <v>0.6899999999999999</v>
      </c>
    </row>
    <row r="38">
      <c r="A38" s="2" t="inlineStr">
        <is>
          <t>Implied @−1SD</t>
        </is>
      </c>
      <c r="B38" s="57">
        <f>B32*B35</f>
        <v/>
      </c>
      <c r="C38" s="2" t="n"/>
      <c r="D38" s="2" t="n"/>
      <c r="E38" s="2" t="n"/>
      <c r="F38" s="2" t="inlineStr">
        <is>
          <t>2026-09-09</t>
        </is>
      </c>
      <c r="G38" s="13" t="n">
        <v>2027</v>
      </c>
      <c r="H38" s="11" t="n">
        <v>235.39</v>
      </c>
      <c r="I38" s="11" t="n">
        <v>2869.5</v>
      </c>
      <c r="J38" s="19" t="n">
        <v>8.609999999999999</v>
      </c>
      <c r="K38" s="19" t="n">
        <v>0.71</v>
      </c>
    </row>
    <row r="39">
      <c r="A39" s="2" t="n"/>
      <c r="B39" s="2" t="n"/>
      <c r="C39" s="2" t="n"/>
      <c r="D39" s="2" t="n"/>
      <c r="E39" s="2" t="n"/>
      <c r="F39" s="2" t="inlineStr">
        <is>
          <t>2026-09-10</t>
        </is>
      </c>
      <c r="G39" s="13" t="n">
        <v>2004</v>
      </c>
      <c r="H39" s="11" t="n">
        <v>235.39</v>
      </c>
      <c r="I39" s="11" t="n">
        <v>2869.5</v>
      </c>
      <c r="J39" s="19" t="n">
        <v>8.51</v>
      </c>
      <c r="K39" s="19" t="n">
        <v>0.7</v>
      </c>
    </row>
    <row r="40">
      <c r="A40" s="2" t="n"/>
      <c r="B40" s="2" t="n"/>
      <c r="C40" s="2" t="n"/>
      <c r="D40" s="2" t="n"/>
      <c r="E40" s="2" t="n"/>
      <c r="F40" s="2" t="inlineStr">
        <is>
          <t>2026-09-11</t>
        </is>
      </c>
      <c r="G40" s="13" t="n">
        <v>1996</v>
      </c>
      <c r="H40" s="11" t="n">
        <v>235.39</v>
      </c>
      <c r="I40" s="11" t="n">
        <v>2869.5</v>
      </c>
      <c r="J40" s="19" t="n">
        <v>8.48</v>
      </c>
      <c r="K40" s="19" t="n">
        <v>0.7</v>
      </c>
    </row>
    <row r="41">
      <c r="A41" s="62" t="inlineStr">
        <is>
          <t>Method 3: P/B range (NTM blend)</t>
        </is>
      </c>
      <c r="B41" s="2" t="n"/>
      <c r="C41" s="2" t="n"/>
      <c r="D41" s="2" t="n"/>
      <c r="E41" s="2" t="n"/>
      <c r="F41" s="2" t="inlineStr">
        <is>
          <t>2026-09-14</t>
        </is>
      </c>
      <c r="G41" s="13" t="n">
        <v>2004</v>
      </c>
      <c r="H41" s="11" t="n">
        <v>235.39</v>
      </c>
      <c r="I41" s="11" t="n">
        <v>2869.5</v>
      </c>
      <c r="J41" s="19" t="n">
        <v>8.52</v>
      </c>
      <c r="K41" s="19" t="n">
        <v>0.7</v>
      </c>
    </row>
    <row r="42">
      <c r="A42" s="3" t="inlineStr">
        <is>
          <t>Current BPS (latest, ¥/share)</t>
        </is>
      </c>
      <c r="B42" s="79">
        <f>Valuation!G15</f>
        <v/>
      </c>
      <c r="C42" s="2" t="n"/>
      <c r="D42" s="2" t="n"/>
      <c r="E42" s="2" t="n"/>
      <c r="F42" s="2" t="inlineStr">
        <is>
          <t>2026-09-15</t>
        </is>
      </c>
      <c r="G42" s="13" t="n">
        <v>1994</v>
      </c>
      <c r="H42" s="11" t="n">
        <v>235.39</v>
      </c>
      <c r="I42" s="11" t="n">
        <v>2869.5</v>
      </c>
      <c r="J42" s="19" t="n">
        <v>8.470000000000001</v>
      </c>
      <c r="K42" s="19" t="n">
        <v>0.6899999999999999</v>
      </c>
    </row>
    <row r="43">
      <c r="A43" s="2" t="inlineStr">
        <is>
          <t xml:space="preserve">  + FY+1 ΔBPS (4Q NI × retention / shares)</t>
        </is>
      </c>
      <c r="B43" s="12">
        <f>(FS!J18+FS!K18)*(1-FS!B88/100)*100/FS!B89</f>
        <v/>
      </c>
      <c r="C43" s="2" t="n"/>
      <c r="D43" s="2" t="n"/>
      <c r="E43" s="2" t="n"/>
      <c r="F43" s="2" t="inlineStr">
        <is>
          <t>2026-09-16</t>
        </is>
      </c>
      <c r="G43" s="13" t="n">
        <v>1993</v>
      </c>
      <c r="H43" s="11" t="n">
        <v>235.39</v>
      </c>
      <c r="I43" s="11" t="n">
        <v>2869.5</v>
      </c>
      <c r="J43" s="19" t="n">
        <v>8.470000000000001</v>
      </c>
      <c r="K43" s="19" t="n">
        <v>0.6899999999999999</v>
      </c>
    </row>
    <row r="44">
      <c r="A44" s="2" t="inlineStr">
        <is>
          <t xml:space="preserve">  + FY+2 ΔBPS (only when blend leans to FY+2)</t>
        </is>
      </c>
      <c r="B44" s="12">
        <f>(FS!L18+FS!M18+FS!N18+FS!O18)*(1-FS!B88/100)*100/FS!B89</f>
        <v/>
      </c>
      <c r="C44" s="2" t="n"/>
      <c r="D44" s="2" t="n"/>
      <c r="E44" s="2" t="n"/>
      <c r="F44" s="2" t="inlineStr">
        <is>
          <t>2026-09-17</t>
        </is>
      </c>
      <c r="G44" s="13" t="n">
        <v>2020</v>
      </c>
      <c r="H44" s="11" t="n">
        <v>235.39</v>
      </c>
      <c r="I44" s="11" t="n">
        <v>2869.5</v>
      </c>
      <c r="J44" s="19" t="n">
        <v>8.58</v>
      </c>
      <c r="K44" s="19" t="n">
        <v>0.7</v>
      </c>
    </row>
    <row r="45">
      <c r="A45" s="3" t="inlineStr">
        <is>
          <t>NTM BPS = (current + ΔFY1 + (1−w)·ΔFY2)</t>
        </is>
      </c>
      <c r="B45" s="80">
        <f>B42+B43+(1-B29)*B44</f>
        <v/>
      </c>
      <c r="C45" s="2" t="n"/>
      <c r="D45" s="2" t="n"/>
      <c r="E45" s="2" t="n"/>
      <c r="F45" s="2" t="inlineStr">
        <is>
          <t>2026-09-18</t>
        </is>
      </c>
      <c r="G45" s="13" t="n">
        <v>1985</v>
      </c>
      <c r="H45" s="11" t="n">
        <v>235.39</v>
      </c>
      <c r="I45" s="11" t="n">
        <v>2869.5</v>
      </c>
      <c r="J45" s="19" t="n">
        <v>8.43</v>
      </c>
      <c r="K45" s="19" t="n">
        <v>0.6899999999999999</v>
      </c>
    </row>
    <row r="46">
      <c r="A46" s="2" t="inlineStr">
        <is>
          <t>5y mean P/B</t>
        </is>
      </c>
      <c r="B46" s="81">
        <f>Valuation!H5</f>
        <v/>
      </c>
      <c r="C46" s="2" t="n"/>
      <c r="D46" s="2" t="n"/>
      <c r="E46" s="2" t="n"/>
      <c r="F46" s="2" t="inlineStr">
        <is>
          <t>2026-09-24</t>
        </is>
      </c>
      <c r="G46" s="13" t="n">
        <v>2031</v>
      </c>
      <c r="H46" s="11" t="n">
        <v>235.39</v>
      </c>
      <c r="I46" s="11" t="n">
        <v>2869.5</v>
      </c>
      <c r="J46" s="19" t="n">
        <v>8.630000000000001</v>
      </c>
      <c r="K46" s="19" t="n">
        <v>0.71</v>
      </c>
    </row>
    <row r="47">
      <c r="A47" s="2" t="inlineStr">
        <is>
          <t>5y +1SD P/B</t>
        </is>
      </c>
      <c r="B47" s="81">
        <f>Valuation!H8</f>
        <v/>
      </c>
      <c r="C47" s="2" t="n"/>
      <c r="D47" s="2" t="n"/>
      <c r="E47" s="2" t="n"/>
      <c r="F47" s="2" t="inlineStr">
        <is>
          <t>2026-09-25</t>
        </is>
      </c>
      <c r="G47" s="13" t="n">
        <v>2036</v>
      </c>
      <c r="H47" s="11" t="n">
        <v>235.39</v>
      </c>
      <c r="I47" s="11" t="n">
        <v>2869.5</v>
      </c>
      <c r="J47" s="19" t="n">
        <v>8.65</v>
      </c>
      <c r="K47" s="19" t="n">
        <v>0.71</v>
      </c>
    </row>
    <row r="48">
      <c r="A48" s="2" t="inlineStr">
        <is>
          <t>5y −1SD P/B</t>
        </is>
      </c>
      <c r="B48" s="81">
        <f>Valuation!H9</f>
        <v/>
      </c>
      <c r="C48" s="2" t="n"/>
      <c r="D48" s="2" t="n"/>
      <c r="E48" s="2" t="n"/>
      <c r="F48" s="2" t="inlineStr">
        <is>
          <t>2026-09-28</t>
        </is>
      </c>
      <c r="G48" s="13" t="n">
        <v>2020</v>
      </c>
      <c r="H48" s="11" t="n">
        <v>235.39</v>
      </c>
      <c r="I48" s="11" t="n">
        <v>2869.5</v>
      </c>
      <c r="J48" s="19" t="n">
        <v>8.58</v>
      </c>
      <c r="K48" s="19" t="n">
        <v>0.7</v>
      </c>
    </row>
    <row r="49">
      <c r="A49" s="3" t="inlineStr">
        <is>
          <t>Implied @mean (NTM)</t>
        </is>
      </c>
      <c r="B49" s="77">
        <f>B45*B46</f>
        <v/>
      </c>
      <c r="C49" s="2" t="n"/>
      <c r="D49" s="2" t="n"/>
      <c r="E49" s="2" t="n"/>
      <c r="F49" s="2" t="n"/>
      <c r="G49" s="2" t="n"/>
      <c r="H49" s="2" t="n"/>
      <c r="I49" s="2" t="n"/>
      <c r="J49" s="2" t="n"/>
      <c r="K49" s="2" t="n"/>
    </row>
    <row r="50">
      <c r="A50" s="2" t="inlineStr">
        <is>
          <t>Implied @+1SD</t>
        </is>
      </c>
      <c r="B50" s="57">
        <f>B45*B47</f>
        <v/>
      </c>
      <c r="C50" s="2" t="n"/>
      <c r="D50" s="2" t="n"/>
      <c r="E50" s="2" t="n"/>
      <c r="F50" s="2" t="n"/>
      <c r="G50" s="2" t="n"/>
      <c r="H50" s="2" t="n"/>
      <c r="I50" s="2" t="n"/>
      <c r="J50" s="2" t="n"/>
      <c r="K50" s="2" t="n"/>
    </row>
    <row r="51">
      <c r="A51" s="2" t="inlineStr">
        <is>
          <t>Implied @−1SD</t>
        </is>
      </c>
      <c r="B51" s="57">
        <f>B45*B48</f>
        <v/>
      </c>
      <c r="C51" s="2" t="n"/>
      <c r="D51" s="2" t="n"/>
      <c r="E51" s="2" t="n"/>
      <c r="F51" s="2" t="n"/>
      <c r="G51" s="2" t="n"/>
      <c r="H51" s="2" t="n"/>
      <c r="I51" s="2" t="n"/>
      <c r="J51" s="2" t="n"/>
      <c r="K51" s="2" t="n"/>
    </row>
    <row r="52">
      <c r="A52" s="2" t="n"/>
      <c r="B52" s="2" t="n"/>
      <c r="C52" s="2" t="n"/>
      <c r="D52" s="2" t="n"/>
      <c r="E52" s="2" t="n"/>
      <c r="F52" s="2" t="n"/>
      <c r="G52" s="2" t="n"/>
      <c r="H52" s="2" t="n"/>
      <c r="I52" s="2" t="n"/>
      <c r="J52" s="2" t="n"/>
      <c r="K52" s="2" t="n"/>
    </row>
    <row r="53">
      <c r="A53" s="2" t="n"/>
      <c r="B53" s="2" t="n"/>
      <c r="C53" s="2" t="n"/>
      <c r="D53" s="2" t="n"/>
      <c r="E53" s="2" t="n"/>
      <c r="F53" s="2" t="n"/>
      <c r="G53" s="2" t="n"/>
      <c r="H53" s="2" t="n"/>
      <c r="I53" s="2" t="n"/>
      <c r="J53" s="2" t="n"/>
      <c r="K53" s="2" t="n"/>
    </row>
    <row r="54">
      <c r="A54" s="82" t="inlineStr">
        <is>
          <t>VERDICT (NTM target)</t>
        </is>
      </c>
      <c r="B54" s="2" t="n"/>
      <c r="C54" s="2" t="n"/>
      <c r="D54" s="2" t="n"/>
      <c r="E54" s="2" t="n"/>
      <c r="F54" s="2" t="n"/>
      <c r="G54" s="2" t="n"/>
      <c r="H54" s="2" t="n"/>
      <c r="I54" s="2" t="n"/>
      <c r="J54" s="2" t="n"/>
      <c r="K54" s="2" t="n"/>
    </row>
    <row r="55">
      <c r="A55" s="3" t="inlineStr">
        <is>
          <t>Current Price (¥)</t>
        </is>
      </c>
      <c r="B55" s="79">
        <f>Valuation!G13</f>
        <v/>
      </c>
      <c r="C55" s="2" t="n"/>
      <c r="D55" s="2" t="n"/>
      <c r="E55" s="2" t="n"/>
      <c r="F55" s="2" t="n"/>
      <c r="G55" s="2" t="n"/>
      <c r="H55" s="2" t="n"/>
      <c r="I55" s="2" t="n"/>
      <c r="J55" s="2" t="n"/>
      <c r="K55" s="2" t="n"/>
    </row>
    <row r="56">
      <c r="A56" s="2" t="inlineStr">
        <is>
          <t>DCF target</t>
        </is>
      </c>
      <c r="B56" s="57">
        <f>B25</f>
        <v/>
      </c>
      <c r="C56" s="83">
        <f>IF(B55&lt;B56*0.9,"Cheap",IF(B55&gt;B56*1.1,"Rich","Fair"))</f>
        <v/>
      </c>
      <c r="D56" s="2" t="n"/>
      <c r="E56" s="2" t="n"/>
      <c r="F56" s="2" t="n"/>
      <c r="G56" s="2" t="n"/>
      <c r="H56" s="2" t="n"/>
      <c r="I56" s="2" t="n"/>
      <c r="J56" s="2" t="n"/>
      <c r="K56" s="2" t="n"/>
    </row>
    <row r="57">
      <c r="A57" s="2" t="inlineStr">
        <is>
          <t>P/E target (NTM)</t>
        </is>
      </c>
      <c r="B57" s="57">
        <f>B36</f>
        <v/>
      </c>
      <c r="C57" s="83">
        <f>IF(B55&lt;B38,"Cheap",IF(B55&gt;B37,"Rich","Fair"))</f>
        <v/>
      </c>
      <c r="D57" s="2" t="n"/>
      <c r="E57" s="2" t="n"/>
      <c r="F57" s="2" t="n"/>
      <c r="G57" s="2" t="n"/>
      <c r="H57" s="2" t="n"/>
      <c r="I57" s="2" t="n"/>
      <c r="J57" s="2" t="n"/>
      <c r="K57" s="2" t="n"/>
    </row>
    <row r="58">
      <c r="A58" s="2" t="inlineStr">
        <is>
          <t>P/B target (NTM)</t>
        </is>
      </c>
      <c r="B58" s="57">
        <f>B49</f>
        <v/>
      </c>
      <c r="C58" s="83">
        <f>IF(B55&lt;B51,"Cheap",IF(B55&gt;B50,"Rich","Fair"))</f>
        <v/>
      </c>
      <c r="D58" s="2" t="n"/>
      <c r="E58" s="2" t="n"/>
      <c r="F58" s="2" t="n"/>
      <c r="G58" s="2" t="n"/>
      <c r="H58" s="2" t="n"/>
      <c r="I58" s="2" t="n"/>
      <c r="J58" s="2" t="n"/>
      <c r="K58" s="2" t="n"/>
    </row>
    <row r="59">
      <c r="A59" s="3" t="inlineStr">
        <is>
          <t>Composite</t>
        </is>
      </c>
      <c r="B59" s="84">
        <f>IF(AND(C56="Cheap",C57="Cheap",C58="Cheap"),"CHEAP — buy",IF(AND(C56="Rich",C57="Rich",C58="Rich"),"RICH — sell",IF(OR(C56="Rich",C57="Rich",C58="Rich"),"Mixed-rich","Fair / Mixed-cheap")))</f>
        <v/>
      </c>
      <c r="C59" s="2" t="n"/>
      <c r="D59" s="2" t="n"/>
      <c r="E59" s="2" t="n"/>
      <c r="F59" s="2" t="n"/>
      <c r="G59" s="2" t="n"/>
      <c r="H59" s="2" t="n"/>
      <c r="I59" s="2" t="n"/>
      <c r="J59" s="2" t="n"/>
      <c r="K59"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cols>
    <col width="7" customWidth="1" min="1" max="1"/>
    <col width="16" customWidth="1" min="2" max="2"/>
    <col width="28" customWidth="1" min="3" max="3"/>
    <col width="9" customWidth="1" min="4" max="4"/>
    <col width="11" customWidth="1" min="5" max="5"/>
    <col width="9" customWidth="1" min="6" max="6"/>
    <col width="8" customWidth="1" min="7" max="7"/>
    <col width="8" customWidth="1" min="8" max="8"/>
    <col width="10" customWidth="1" min="9" max="9"/>
    <col width="10" customWidth="1" min="10" max="10"/>
    <col width="15" customWidth="1" min="11" max="11"/>
    <col width="8" customWidth="1" min="12" max="12"/>
    <col width="8" customWidth="1" min="13" max="13"/>
    <col width="9" customWidth="1" min="14" max="14"/>
    <col width="11" customWidth="1" min="15" max="15"/>
  </cols>
  <sheetData>
    <row r="1">
      <c r="A1" s="85" t="inlineStr">
        <is>
          <t>Peer Comparables for Sumitomo Rubber Industries (51100) — common multiples</t>
        </is>
      </c>
      <c r="B1" s="2" t="n"/>
      <c r="C1" s="2" t="n"/>
      <c r="D1" s="2" t="n"/>
      <c r="E1" s="2" t="n"/>
      <c r="F1" s="2" t="n"/>
      <c r="G1" s="2" t="n"/>
      <c r="H1" s="2" t="n"/>
      <c r="I1" s="2" t="n"/>
      <c r="J1" s="2" t="n"/>
      <c r="K1" s="2" t="n"/>
      <c r="L1" s="2" t="n"/>
      <c r="M1" s="2" t="n"/>
      <c r="N1" s="2" t="n"/>
      <c r="O1" s="2" t="n"/>
    </row>
    <row r="2">
      <c r="A2" s="74" t="inlineStr">
        <is>
          <t>Source: J-Quants daily_bars × fins_summary FY (split-adjusted BPS). P/E(fwd) = Nikkei QUICK consensus for the CURRENT FY — near a company's FY-end that is nearly trailing.</t>
        </is>
      </c>
      <c r="B2" s="2" t="n"/>
      <c r="C2" s="2" t="n"/>
      <c r="D2" s="2" t="n"/>
      <c r="E2" s="2" t="n"/>
      <c r="F2" s="2" t="n"/>
      <c r="G2" s="2" t="n"/>
      <c r="H2" s="2" t="n"/>
      <c r="I2" s="2" t="n"/>
      <c r="J2" s="2" t="n"/>
      <c r="K2" s="2" t="n"/>
      <c r="L2" s="2" t="n"/>
      <c r="M2" s="2" t="n"/>
      <c r="N2" s="2" t="n"/>
      <c r="O2" s="2" t="n"/>
    </row>
    <row r="3">
      <c r="A3" s="2" t="n"/>
      <c r="B3" s="2" t="n"/>
      <c r="C3" s="2" t="n"/>
      <c r="D3" s="2" t="n"/>
      <c r="E3" s="2" t="n"/>
      <c r="F3" s="2" t="n"/>
      <c r="G3" s="2" t="n"/>
      <c r="H3" s="2" t="n"/>
      <c r="I3" s="2" t="n"/>
      <c r="J3" s="2" t="n"/>
      <c r="K3" s="2" t="n"/>
      <c r="L3" s="2" t="n"/>
      <c r="M3" s="2" t="n"/>
      <c r="N3" s="2" t="n"/>
      <c r="O3" s="2" t="n"/>
    </row>
    <row r="4">
      <c r="A4" s="43" t="inlineStr">
        <is>
          <t>Code</t>
        </is>
      </c>
      <c r="B4" s="43" t="inlineStr">
        <is>
          <t>Name</t>
        </is>
      </c>
      <c r="C4" s="43" t="inlineStr">
        <is>
          <t>Period</t>
        </is>
      </c>
      <c r="D4" s="43" t="inlineStr">
        <is>
          <t>Price</t>
        </is>
      </c>
      <c r="E4" s="43" t="inlineStr">
        <is>
          <t>MCap (億)</t>
        </is>
      </c>
      <c r="F4" s="43" t="inlineStr">
        <is>
          <t>Sales</t>
        </is>
      </c>
      <c r="G4" s="43" t="inlineStr">
        <is>
          <t>OP</t>
        </is>
      </c>
      <c r="H4" s="43" t="inlineStr">
        <is>
          <t>NP</t>
        </is>
      </c>
      <c r="I4" s="43" t="inlineStr">
        <is>
          <t>EPS</t>
        </is>
      </c>
      <c r="J4" s="43" t="inlineStr">
        <is>
          <t>BPS</t>
        </is>
      </c>
      <c r="K4" s="43" t="inlineStr">
        <is>
          <t>P/E (fwd)</t>
        </is>
      </c>
      <c r="L4" s="43" t="inlineStr">
        <is>
          <t>P/B</t>
        </is>
      </c>
      <c r="M4" s="43" t="inlineStr">
        <is>
          <t>OPM %</t>
        </is>
      </c>
      <c r="N4" s="43" t="inlineStr">
        <is>
          <t>ROE %</t>
        </is>
      </c>
      <c r="O4" s="43" t="inlineStr">
        <is>
          <t>Sales YoY %</t>
        </is>
      </c>
    </row>
    <row r="5">
      <c r="A5" s="86" t="inlineStr">
        <is>
          <t>51100</t>
        </is>
      </c>
      <c r="B5" s="86" t="inlineStr">
        <is>
          <t>住友ゴム工業</t>
        </is>
      </c>
      <c r="C5" s="86" t="inlineStr">
        <is>
          <t>Consensus 2026/12連I予 (n=9)</t>
        </is>
      </c>
      <c r="D5" s="87" t="n">
        <v>2020</v>
      </c>
      <c r="E5" s="87" t="n">
        <v>5311</v>
      </c>
      <c r="F5" s="87" t="n">
        <v>12950</v>
      </c>
      <c r="G5" s="87" t="n">
        <v>901</v>
      </c>
      <c r="H5" s="87" t="n">
        <v>576</v>
      </c>
      <c r="I5" s="88" t="n">
        <v>219.22</v>
      </c>
      <c r="J5" s="88" t="n">
        <v>2724.4</v>
      </c>
      <c r="K5" s="89" t="n">
        <v>9.199999999999999</v>
      </c>
      <c r="L5" s="89" t="n">
        <v>0.74</v>
      </c>
      <c r="M5" s="90" t="n">
        <v>7</v>
      </c>
      <c r="N5" s="90" t="n">
        <v>7.8</v>
      </c>
      <c r="O5" s="90" t="n">
        <v>7.3</v>
      </c>
    </row>
    <row r="6">
      <c r="A6" s="2" t="inlineStr">
        <is>
          <t>51080</t>
        </is>
      </c>
      <c r="B6" s="2" t="inlineStr">
        <is>
          <t>ブリヂストン</t>
        </is>
      </c>
      <c r="C6" s="2" t="inlineStr">
        <is>
          <t>Consensus 2026/12連I予 (n=11)</t>
        </is>
      </c>
      <c r="D6" s="13" t="n">
        <v>3832</v>
      </c>
      <c r="E6" s="13" t="n">
        <v>50978</v>
      </c>
      <c r="F6" s="13" t="n">
        <v>46726</v>
      </c>
      <c r="G6" s="13" t="n">
        <v>5128</v>
      </c>
      <c r="H6" s="13" t="n">
        <v>3557</v>
      </c>
      <c r="I6" s="11" t="n">
        <v>288.22</v>
      </c>
      <c r="J6" s="11" t="n">
        <v>2868.5</v>
      </c>
      <c r="K6" s="15" t="n">
        <v>13.3</v>
      </c>
      <c r="L6" s="15" t="n">
        <v>1.34</v>
      </c>
      <c r="M6" s="31" t="n">
        <v>11</v>
      </c>
      <c r="N6" s="31" t="n">
        <v>9.6</v>
      </c>
      <c r="O6" s="31" t="n">
        <v>5.5</v>
      </c>
    </row>
    <row r="7">
      <c r="A7" s="2" t="inlineStr">
        <is>
          <t>51010</t>
        </is>
      </c>
      <c r="B7" s="2" t="inlineStr">
        <is>
          <t>横浜ゴム</t>
        </is>
      </c>
      <c r="C7" s="2" t="inlineStr">
        <is>
          <t>Consensus 2026/12連I予 (n=8)</t>
        </is>
      </c>
      <c r="D7" s="13" t="n">
        <v>6827</v>
      </c>
      <c r="E7" s="13" t="n">
        <v>10763</v>
      </c>
      <c r="F7" s="13" t="n">
        <v>13410</v>
      </c>
      <c r="G7" s="13" t="n">
        <v>2106</v>
      </c>
      <c r="H7" s="13" t="n">
        <v>1334</v>
      </c>
      <c r="I7" s="11" t="n">
        <v>845.96</v>
      </c>
      <c r="J7" s="11" t="n">
        <v>6536.7</v>
      </c>
      <c r="K7" s="15" t="n">
        <v>8.1</v>
      </c>
      <c r="L7" s="15" t="n">
        <v>1.04</v>
      </c>
      <c r="M7" s="31" t="n">
        <v>15.7</v>
      </c>
      <c r="N7" s="31" t="n">
        <v>12.8</v>
      </c>
      <c r="O7" s="31" t="n">
        <v>8.6</v>
      </c>
    </row>
    <row r="8">
      <c r="A8" s="2" t="inlineStr">
        <is>
          <t>51050</t>
        </is>
      </c>
      <c r="B8" s="2" t="inlineStr">
        <is>
          <t>ＴＯＹＯ　ＴＩＲＥ</t>
        </is>
      </c>
      <c r="C8" s="2" t="inlineStr">
        <is>
          <t>Consensus 2026/12連予 (n=8)</t>
        </is>
      </c>
      <c r="D8" s="13" t="n">
        <v>3900</v>
      </c>
      <c r="E8" s="13" t="n">
        <v>6006</v>
      </c>
      <c r="F8" s="13" t="n">
        <v>6273</v>
      </c>
      <c r="G8" s="13" t="n">
        <v>917</v>
      </c>
      <c r="H8" s="13" t="n">
        <v>655</v>
      </c>
      <c r="I8" s="11" t="n">
        <v>531.6</v>
      </c>
      <c r="J8" s="11" t="n">
        <v>3394</v>
      </c>
      <c r="K8" s="15" t="n">
        <v>7.3</v>
      </c>
      <c r="L8" s="15" t="n">
        <v>1.15</v>
      </c>
      <c r="M8" s="31" t="n">
        <v>14.6</v>
      </c>
      <c r="N8" s="31" t="n">
        <v>12.5</v>
      </c>
      <c r="O8" s="31" t="n">
        <v>5.4</v>
      </c>
    </row>
    <row r="9">
      <c r="A9" s="2" t="n"/>
      <c r="B9" s="2" t="n"/>
      <c r="C9" s="2" t="n"/>
      <c r="D9" s="2" t="n"/>
      <c r="E9" s="2" t="n"/>
      <c r="F9" s="2" t="n"/>
      <c r="G9" s="2" t="n"/>
      <c r="H9" s="2" t="n"/>
      <c r="I9" s="2" t="n"/>
      <c r="J9" s="2" t="n"/>
      <c r="K9" s="2" t="n"/>
      <c r="L9" s="2" t="n"/>
      <c r="M9" s="2" t="n"/>
      <c r="N9" s="2" t="n"/>
      <c r="O9" s="2" t="n"/>
    </row>
    <row r="10">
      <c r="A10" s="3" t="inlineStr">
        <is>
          <t>MEDIAN (peers)</t>
        </is>
      </c>
      <c r="B10" s="2" t="n"/>
      <c r="C10" s="2" t="n"/>
      <c r="D10" s="2" t="n"/>
      <c r="E10" s="2" t="n"/>
      <c r="F10" s="2" t="n"/>
      <c r="G10" s="2" t="n"/>
      <c r="H10" s="2" t="n"/>
      <c r="I10" s="2" t="n"/>
      <c r="J10" s="2" t="n"/>
      <c r="K10" s="91" t="n">
        <v>8.1</v>
      </c>
      <c r="L10" s="91" t="n">
        <v>1.15</v>
      </c>
      <c r="M10" s="92" t="n">
        <v>14.6</v>
      </c>
      <c r="N10" s="92" t="n">
        <v>12.5</v>
      </c>
      <c r="O10" s="92" t="n">
        <v>5.5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2" customWidth="1" min="1" max="1"/>
    <col width="13" customWidth="1" min="2" max="2"/>
    <col width="14" customWidth="1" min="3" max="3"/>
    <col width="14" customWidth="1" min="4" max="4"/>
    <col width="12" customWidth="1" min="5" max="5"/>
  </cols>
  <sheetData>
    <row r="1">
      <c r="A1" s="85" t="inlineStr">
        <is>
          <t>Sumitomo Rubber Industries (51100) — Model Summary  [BLUE=input, BLACK=formula, GREEN=cross-sheet, YELLOW=key tunable]</t>
        </is>
      </c>
      <c r="B1" s="2" t="n"/>
      <c r="C1" s="2" t="n"/>
      <c r="D1" s="2" t="n"/>
      <c r="E1" s="2" t="n"/>
      <c r="F1" s="2" t="n"/>
    </row>
    <row r="2">
      <c r="A2" s="2" t="n"/>
      <c r="B2" s="2" t="n"/>
      <c r="C2" s="2" t="n"/>
      <c r="D2" s="2" t="n"/>
      <c r="E2" s="2" t="n"/>
      <c r="F2" s="2" t="n"/>
    </row>
    <row r="3">
      <c r="A3" s="6" t="inlineStr">
        <is>
          <t>Metric</t>
        </is>
      </c>
      <c r="B3" s="6" t="inlineStr">
        <is>
          <t>Hist FY25</t>
        </is>
      </c>
      <c r="C3" s="6" t="inlineStr">
        <is>
          <t>Model FY26E</t>
        </is>
      </c>
      <c r="D3" s="6" t="inlineStr">
        <is>
          <t>Model FY27E</t>
        </is>
      </c>
      <c r="E3" s="6" t="inlineStr">
        <is>
          <t>Company Guide</t>
        </is>
      </c>
      <c r="F3" s="6" t="inlineStr">
        <is>
          <t>vs Guide %</t>
        </is>
      </c>
    </row>
    <row r="4">
      <c r="A4" s="3" t="inlineStr">
        <is>
          <t>Sales (億)</t>
        </is>
      </c>
      <c r="B4" s="9">
        <f>FS!D4+FS!E4+FS!F4+FS!G4</f>
        <v/>
      </c>
      <c r="C4" s="9">
        <f>FS!H4+FS!I4+FS!J4+FS!K4</f>
        <v/>
      </c>
      <c r="D4" s="9">
        <f>FS!L4+FS!M4+FS!N4+FS!O4</f>
        <v/>
      </c>
      <c r="E4" s="93" t="n">
        <v>13300</v>
      </c>
      <c r="F4" s="52">
        <f>C4/E4-1</f>
        <v/>
      </c>
    </row>
    <row r="5">
      <c r="A5" s="3" t="inlineStr">
        <is>
          <t>OP (億)</t>
        </is>
      </c>
      <c r="B5" s="9">
        <f>FS!D9+FS!E9+FS!F9+FS!G9</f>
        <v/>
      </c>
      <c r="C5" s="9">
        <f>FS!H9+FS!I9+FS!J9+FS!K9</f>
        <v/>
      </c>
      <c r="D5" s="9">
        <f>FS!L9+FS!M9+FS!N9+FS!O9</f>
        <v/>
      </c>
      <c r="E5" s="93" t="n">
        <v>890</v>
      </c>
      <c r="F5" s="52">
        <f>C5/E5-1</f>
        <v/>
      </c>
    </row>
    <row r="6">
      <c r="A6" s="3" t="inlineStr">
        <is>
          <t>OPM %</t>
        </is>
      </c>
      <c r="B6" s="10">
        <f>B5/B4*100</f>
        <v/>
      </c>
      <c r="C6" s="10">
        <f>C5/C4*100</f>
        <v/>
      </c>
      <c r="D6" s="10">
        <f>D5/D4*100</f>
        <v/>
      </c>
      <c r="E6" s="94" t="n">
        <v>6.69</v>
      </c>
      <c r="F6" s="52">
        <f>C6/E6-1</f>
        <v/>
      </c>
    </row>
    <row r="7">
      <c r="A7" s="3" t="inlineStr">
        <is>
          <t>NP (億)</t>
        </is>
      </c>
      <c r="B7" s="9">
        <f>FS!D18+FS!E18+FS!F18+FS!G18</f>
        <v/>
      </c>
      <c r="C7" s="9">
        <f>FS!H18+FS!I18+FS!J18+FS!K18</f>
        <v/>
      </c>
      <c r="D7" s="9">
        <f>FS!L18+FS!M18+FS!N18+FS!O18</f>
        <v/>
      </c>
      <c r="E7" s="93" t="n">
        <v>550</v>
      </c>
      <c r="F7" s="52">
        <f>C7/E7-1</f>
        <v/>
      </c>
    </row>
    <row r="8">
      <c r="A8" s="3" t="inlineStr">
        <is>
          <t>EPS (¥)</t>
        </is>
      </c>
      <c r="B8" s="79">
        <f>FS!D22+FS!E22+FS!F22+FS!G22</f>
        <v/>
      </c>
      <c r="C8" s="79">
        <f>FS!H22+FS!I22+FS!J22+FS!K22</f>
        <v/>
      </c>
      <c r="D8" s="79">
        <f>FS!L22+FS!M22+FS!N22+FS!O22</f>
        <v/>
      </c>
      <c r="E8" s="95" t="n">
        <v>209.25</v>
      </c>
      <c r="F8" s="52">
        <f>C8/E8-1</f>
        <v/>
      </c>
    </row>
    <row r="9">
      <c r="A9" s="2" t="n"/>
      <c r="B9" s="2" t="n"/>
      <c r="C9" s="2" t="n"/>
      <c r="D9" s="2" t="n"/>
      <c r="E9" s="2" t="n"/>
      <c r="F9" s="2" t="n"/>
    </row>
    <row r="10">
      <c r="A10" s="2" t="n"/>
      <c r="B10" s="2" t="n"/>
      <c r="C10" s="2" t="n"/>
      <c r="D10" s="2" t="n"/>
      <c r="E10" s="2" t="n"/>
      <c r="F10" s="2" t="n"/>
    </row>
    <row r="11">
      <c r="A11" s="2" t="n"/>
      <c r="B11" s="2" t="n"/>
      <c r="C11" s="2" t="n"/>
      <c r="D11" s="2" t="n"/>
      <c r="E11" s="2" t="n"/>
      <c r="F11" s="2" t="n"/>
    </row>
    <row r="12">
      <c r="A12" s="62" t="inlineStr">
        <is>
          <t>Daily Snapshot  ─ overwritten by modeling.daily_refresh after EOD</t>
        </is>
      </c>
      <c r="B12" s="2" t="n"/>
      <c r="C12" s="2" t="n"/>
      <c r="D12" s="2" t="n"/>
      <c r="E12" s="2" t="n"/>
      <c r="F12" s="2" t="n"/>
    </row>
    <row r="13">
      <c r="A13" s="2" t="inlineStr">
        <is>
          <t>Current Price (¥)</t>
        </is>
      </c>
      <c r="B13" s="2" t="n"/>
      <c r="C13" s="69" t="inlineStr">
        <is>
          <t>from daily_bars latest close</t>
        </is>
      </c>
      <c r="D13" s="2" t="n"/>
      <c r="E13" s="2" t="n"/>
      <c r="F13" s="2" t="n"/>
    </row>
    <row r="14">
      <c r="A14" s="2" t="inlineStr">
        <is>
          <t>DCF base (¥)</t>
        </is>
      </c>
      <c r="B14" s="2" t="n"/>
      <c r="C14" s="69" t="inlineStr">
        <is>
          <t>target_prices.db base scenario</t>
        </is>
      </c>
      <c r="D14" s="2" t="n"/>
      <c r="E14" s="2" t="n"/>
      <c r="F14" s="2" t="n"/>
    </row>
    <row r="15">
      <c r="A15" s="2" t="inlineStr">
        <is>
          <t>DCF bull (¥)</t>
        </is>
      </c>
      <c r="B15" s="2" t="n"/>
      <c r="C15" s="69" t="inlineStr">
        <is>
          <t>target_prices.db bull scenario</t>
        </is>
      </c>
      <c r="D15" s="2" t="n"/>
      <c r="E15" s="2" t="n"/>
      <c r="F15" s="2" t="n"/>
    </row>
    <row r="16">
      <c r="A16" s="2" t="inlineStr">
        <is>
          <t>DCF bear (¥)</t>
        </is>
      </c>
      <c r="B16" s="2" t="n"/>
      <c r="C16" s="69" t="inlineStr">
        <is>
          <t>target_prices.db bear scenario</t>
        </is>
      </c>
      <c r="D16" s="2" t="n"/>
      <c r="E16" s="2" t="n"/>
      <c r="F16" s="2" t="n"/>
    </row>
    <row r="17">
      <c r="A17" s="2" t="inlineStr">
        <is>
          <t>Composite verdict</t>
        </is>
      </c>
      <c r="B17" s="2" t="n"/>
      <c r="C17" s="69" t="inlineStr">
        <is>
          <t>Cheap / Fair / Rich vs current</t>
        </is>
      </c>
      <c r="D17" s="2" t="n"/>
      <c r="E17" s="2" t="n"/>
      <c r="F17" s="2" t="n"/>
    </row>
    <row r="18">
      <c r="A18" s="2" t="inlineStr">
        <is>
          <t>Peer median P/E (x)</t>
        </is>
      </c>
      <c r="B18" s="2" t="n"/>
      <c r="C18" s="69" t="inlineStr">
        <is>
          <t>Comp sheet median</t>
        </is>
      </c>
      <c r="D18" s="2" t="n"/>
      <c r="E18" s="2" t="n"/>
      <c r="F18" s="2" t="n"/>
    </row>
    <row r="19">
      <c r="A19" s="2" t="inlineStr">
        <is>
          <t>Last refresh date</t>
        </is>
      </c>
      <c r="B19" s="2" t="n"/>
      <c r="C19" s="69" t="inlineStr"/>
      <c r="D19" s="2" t="n"/>
      <c r="E19" s="2" t="n"/>
      <c r="F19" s="2" t="n"/>
    </row>
    <row r="20">
      <c r="A20" s="2" t="n"/>
      <c r="B20" s="2" t="n"/>
      <c r="C20" s="2" t="n"/>
      <c r="D20" s="2" t="n"/>
      <c r="E20" s="2" t="n"/>
      <c r="F20" s="2" t="n"/>
    </row>
    <row r="21">
      <c r="A21" s="2" t="n"/>
      <c r="B21" s="2" t="n"/>
      <c r="C21" s="2" t="n"/>
      <c r="D21" s="2" t="n"/>
      <c r="E21" s="2" t="n"/>
      <c r="F21" s="2" t="n"/>
    </row>
    <row r="22">
      <c r="A22" s="62" t="inlineStr">
        <is>
          <t>Analyst Notes</t>
        </is>
      </c>
      <c r="B22" s="2" t="n"/>
      <c r="C22" s="2" t="n"/>
      <c r="D22" s="2" t="n"/>
      <c r="E22" s="2" t="n"/>
      <c r="F22" s="2" t="n"/>
    </row>
    <row r="23">
      <c r="A23" s="96" t="inlineStr">
        <is>
          <t>⚠DCFはこの銘柄では読まない。Python側のコンソール出力(scenarios.py)はΔWC=0の粗算スカラーで、工作簿のDCF(Valuation!B25)とは別物。ΔWCの扱いだけで−1,968円〜+6,629円まで動く。判断はP/EとP/Bで行う。</t>
        </is>
      </c>
      <c r="B23" s="2" t="n"/>
      <c r="C23" s="2" t="n"/>
      <c r="D23" s="2" t="n"/>
      <c r="E23" s="2" t="n"/>
      <c r="F23" s="2" t="n"/>
    </row>
    <row r="24">
      <c r="A24" s="96" t="inlineStr">
        <is>
          <t>⚠P/Eバンドも当てにならない。5年の平均P/E 17.42・SD 18.15は、FY22(EPS 35.80)とFY24(EPS 37.51)の2回の業績急減が分母を潰した結果で、−1SDが負値になる。中央値12.02を使うか、P/B(平均0.69・SD0.11、現在0.69=50.8パーセンタイル)を主軸にする。</t>
        </is>
      </c>
      <c r="B24" s="2" t="n"/>
      <c r="C24" s="2" t="n"/>
      <c r="D24" s="2" t="n"/>
      <c r="E24" s="2" t="n"/>
      <c r="F24" s="2" t="n"/>
    </row>
    <row r="25">
      <c r="A25" s="96" t="inlineStr">
        <is>
          <t>駆動: OP = 売上 × 四半期OPM。受注開示が無いためサイクルは値上げ×原材料×数量の3点で見る。</t>
        </is>
      </c>
      <c r="B25" s="2" t="n"/>
      <c r="C25" s="2" t="n"/>
      <c r="D25" s="2" t="n"/>
      <c r="E25" s="2" t="n"/>
      <c r="F25" s="2" t="n"/>
    </row>
    <row r="26">
      <c r="A26" s="96" t="inlineStr">
        <is>
          <t>FY26下期OPMは会社の下方修正後ガイド（営業利益890億/事業利益960億）に逆算で合わせてある。</t>
        </is>
      </c>
      <c r="B26" s="2" t="n"/>
      <c r="C26" s="2" t="n"/>
      <c r="D26" s="2" t="n"/>
      <c r="E26" s="2" t="n"/>
      <c r="F26" s="2" t="n"/>
    </row>
    <row r="27">
      <c r="A27" s="96" t="inlineStr">
        <is>
          <t>FY27の増益ドライバー: 26年下期値上げの通年寄与 / 欧米アクティブトレッド新製品 / Project ARK・タイ新設備のコスト削減 / Tier3ブランドPneumant投入。</t>
        </is>
      </c>
      <c r="B27" s="2" t="n"/>
      <c r="C27" s="2" t="n"/>
      <c r="D27" s="2" t="n"/>
      <c r="E27" s="2" t="n"/>
      <c r="F27" s="2" t="n"/>
    </row>
    <row r="28">
      <c r="A28" s="96" t="inlineStr">
        <is>
          <t>構造要因: 2025-01にGoodyearから欧米豪のDUNLOP商標権を5.26億ドルで取得。欧州は25年3Qに前倒しで黒字化、26年から自社開発品を投入。</t>
        </is>
      </c>
      <c r="B28" s="2" t="n"/>
      <c r="C28" s="2" t="n"/>
      <c r="D28" s="2" t="n"/>
      <c r="E28" s="2" t="n"/>
      <c r="F28" s="2" t="n"/>
    </row>
    <row r="29">
      <c r="A29" s="96" t="inlineStr">
        <is>
          <t>リスク: 大和2026-09-08は足元の原材料市況が会社前提を上回るとして通期計画の達成に留保。2026-02-28の米イスラエルによるイラン攻撃以降、原油と海上運賃が上振れ。</t>
        </is>
      </c>
      <c r="B29" s="2" t="n"/>
      <c r="C29" s="2" t="n"/>
      <c r="D29" s="2" t="n"/>
      <c r="E29" s="2" t="n"/>
      <c r="F29" s="2" t="n"/>
    </row>
    <row r="30">
      <c r="A30" s="96" t="inlineStr">
        <is>
          <t>需給: 信用買残が2026-08-07の68万株から09-11に149万株へ2.2倍、貸借倍率7.3→46.6。下落途中の個人逆張りで上値に滞留玉。</t>
        </is>
      </c>
      <c r="B30" s="2" t="n"/>
      <c r="C30" s="2" t="n"/>
      <c r="D30" s="2" t="n"/>
      <c r="E30" s="2" t="n"/>
      <c r="F30" s="2" t="n"/>
    </row>
    <row r="31">
      <c r="A31" s="96" t="inlineStr">
        <is>
          <t>セグメントSOTP参照: スポーツ（売上10.4%）にはS33=3350内にpeerが無い。読み替えはミズノ80220（S33=3800）だが、Compの中央値を純タイヤ倍率に保つため除外している。</t>
        </is>
      </c>
      <c r="B31" s="2" t="n"/>
      <c r="C31" s="2" t="n"/>
      <c r="D31" s="2" t="n"/>
      <c r="E31" s="2" t="n"/>
      <c r="F31" s="2" t="n"/>
    </row>
    <row r="32">
      <c r="A32" s="96" t="inlineStr">
        <is>
          <t>株主: 住友電気工業28.87%（支配株主等の開示あり）。Silchester（activist）は10.31%→6.66%へ継続減。</t>
        </is>
      </c>
      <c r="B32" s="2" t="n"/>
      <c r="C32" s="2" t="n"/>
      <c r="D32" s="2" t="n"/>
      <c r="E32" s="2" t="n"/>
      <c r="F32" s="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s="85" t="inlineStr">
        <is>
          <t>Sumitomo Rubber Industries — Revenue by Customer (single-Q, 億円). Source: deck p5 得意先別売上収益 vision-extracted.</t>
        </is>
      </c>
    </row>
    <row r="2">
      <c r="A2" s="2" t="n"/>
    </row>
    <row r="3">
      <c r="A3" s="2" t="inlineStr">
        <is>
          <t>No customer observations in decks DB.</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2"/>
  <sheetViews>
    <sheetView workbookViewId="0">
      <selection activeCell="A1" sqref="A1"/>
    </sheetView>
  </sheetViews>
  <sheetFormatPr baseColWidth="8" defaultRowHeight="15"/>
  <cols>
    <col width="46" customWidth="1" min="1" max="1"/>
    <col width="15" customWidth="1" min="2" max="2"/>
    <col width="13" customWidth="1" min="3" max="3"/>
    <col width="15" customWidth="1" min="4" max="4"/>
    <col width="13" customWidth="1" min="5" max="5"/>
    <col width="12" customWidth="1" min="6" max="6"/>
    <col width="11" customWidth="1" min="7" max="7"/>
    <col width="11" customWidth="1" min="8" max="8"/>
    <col width="11" customWidth="1" min="9" max="9"/>
    <col width="11" customWidth="1" min="10" max="10"/>
  </cols>
  <sheetData>
    <row r="1">
      <c r="A1" s="85" t="inlineStr">
        <is>
          <t>Sumitomo Rubber Industries — Cycle Multiple Bands (full history, PIT, split-adjusted)</t>
        </is>
      </c>
      <c r="B1" s="2" t="n"/>
      <c r="C1" s="2" t="n"/>
      <c r="D1" s="2" t="n"/>
      <c r="E1" s="2" t="n"/>
      <c r="F1" s="2" t="n"/>
      <c r="G1" s="2" t="n"/>
      <c r="H1" s="2" t="n"/>
      <c r="I1" s="2" t="n"/>
      <c r="J1" s="2" t="n"/>
      <c r="K1" s="2" t="n"/>
    </row>
    <row r="2">
      <c r="A2" s="74" t="inlineStr">
        <is>
          <t>UPCYCLE → read P/E.  BOTTOM → read P/B (trough EPS makes P/E meaningless). Phase clock is DESCRIPTIVE (full-sample OPM median), never a signal.</t>
        </is>
      </c>
      <c r="B2" s="2" t="n"/>
      <c r="C2" s="2" t="n"/>
      <c r="D2" s="2" t="n"/>
      <c r="E2" s="2" t="n"/>
      <c r="F2" s="2" t="n"/>
      <c r="G2" s="2" t="n"/>
      <c r="H2" s="2" t="n"/>
      <c r="I2" s="2" t="n"/>
      <c r="J2" s="2" t="n"/>
      <c r="K2" s="2" t="n"/>
    </row>
    <row r="3">
      <c r="A3" s="2" t="n"/>
      <c r="B3" s="2" t="n"/>
      <c r="C3" s="2" t="n"/>
      <c r="D3" s="2" t="n"/>
      <c r="E3" s="2" t="n"/>
      <c r="F3" s="2" t="n"/>
      <c r="G3" s="2" t="n"/>
      <c r="H3" s="2" t="n"/>
      <c r="I3" s="2" t="n"/>
      <c r="J3" s="2" t="n"/>
      <c r="K3" s="2" t="n"/>
    </row>
    <row r="4">
      <c r="A4" s="62" t="inlineStr">
        <is>
          <t>0. P/B comparability gate — cash ÷ equity (FY-end)</t>
        </is>
      </c>
      <c r="B4" s="2" t="n"/>
      <c r="C4" s="2" t="n"/>
      <c r="D4" s="2" t="n"/>
      <c r="E4" s="2" t="n"/>
      <c r="F4" s="2" t="n"/>
      <c r="G4" s="2" t="n"/>
      <c r="H4" s="2" t="n"/>
      <c r="I4" s="2" t="n"/>
      <c r="J4" s="2" t="n"/>
      <c r="K4" s="2" t="n"/>
    </row>
    <row r="5">
      <c r="A5" s="2" t="inlineStr">
        <is>
          <t>range 9.1%-16.0%, mean 13.4%, first3→last3 drift +1.3pp → P/B COMPARABLE across time</t>
        </is>
      </c>
      <c r="B5" s="2" t="n"/>
      <c r="C5" s="2" t="n"/>
      <c r="D5" s="2" t="n"/>
      <c r="E5" s="2" t="n"/>
      <c r="F5" s="2" t="n"/>
      <c r="G5" s="2" t="n"/>
      <c r="H5" s="2" t="n"/>
      <c r="I5" s="2" t="n"/>
      <c r="J5" s="2" t="n"/>
      <c r="K5" s="2" t="n"/>
    </row>
    <row r="6">
      <c r="A6" s="2" t="n"/>
      <c r="B6" s="2" t="n"/>
      <c r="C6" s="2" t="n"/>
      <c r="D6" s="2" t="n"/>
      <c r="E6" s="2" t="n"/>
      <c r="F6" s="2" t="n"/>
      <c r="G6" s="2" t="n"/>
      <c r="H6" s="2" t="n"/>
      <c r="I6" s="2" t="n"/>
      <c r="J6" s="2" t="n"/>
      <c r="K6" s="2" t="n"/>
    </row>
    <row r="7">
      <c r="A7" s="62" t="inlineStr">
        <is>
          <t>1. Full-history band (monthly, TTM basis)</t>
        </is>
      </c>
      <c r="B7" s="2" t="n"/>
      <c r="C7" s="2" t="n"/>
      <c r="D7" s="2" t="n"/>
      <c r="E7" s="2" t="n"/>
      <c r="F7" s="2" t="n"/>
      <c r="G7" s="2" t="n"/>
      <c r="H7" s="2" t="n"/>
      <c r="I7" s="2" t="n"/>
      <c r="J7" s="2" t="n"/>
      <c r="K7" s="2" t="n"/>
    </row>
    <row r="8">
      <c r="A8" s="43" t="inlineStr">
        <is>
          <t>Metric</t>
        </is>
      </c>
      <c r="B8" s="43" t="inlineStr">
        <is>
          <t>n</t>
        </is>
      </c>
      <c r="C8" s="43" t="inlineStr">
        <is>
          <t>min</t>
        </is>
      </c>
      <c r="D8" s="43" t="inlineStr">
        <is>
          <t>p10</t>
        </is>
      </c>
      <c r="E8" s="43" t="inlineStr">
        <is>
          <t>p25</t>
        </is>
      </c>
      <c r="F8" s="43" t="inlineStr">
        <is>
          <t>median</t>
        </is>
      </c>
      <c r="G8" s="43" t="inlineStr">
        <is>
          <t>p75</t>
        </is>
      </c>
      <c r="H8" s="43" t="inlineStr">
        <is>
          <t>p90</t>
        </is>
      </c>
      <c r="I8" s="43" t="inlineStr">
        <is>
          <t>max</t>
        </is>
      </c>
      <c r="J8" s="2" t="n"/>
      <c r="K8" s="2" t="n"/>
    </row>
    <row r="9">
      <c r="A9" s="3" t="inlineStr">
        <is>
          <t>P/E</t>
        </is>
      </c>
      <c r="B9" s="2" t="n">
        <v>183</v>
      </c>
      <c r="C9" s="19" t="n">
        <v>5.51</v>
      </c>
      <c r="D9" s="19" t="n">
        <v>7.04</v>
      </c>
      <c r="E9" s="19" t="n">
        <v>8.460000000000001</v>
      </c>
      <c r="F9" s="19" t="n">
        <v>10.28</v>
      </c>
      <c r="G9" s="19" t="n">
        <v>13.12</v>
      </c>
      <c r="H9" s="19" t="n">
        <v>23.61</v>
      </c>
      <c r="I9" s="19" t="n">
        <v>194.38</v>
      </c>
      <c r="J9" s="2" t="n"/>
      <c r="K9" s="2" t="n"/>
    </row>
    <row r="10">
      <c r="A10" s="3" t="inlineStr">
        <is>
          <t>P/B</t>
        </is>
      </c>
      <c r="B10" s="2" t="n">
        <v>203</v>
      </c>
      <c r="C10" s="19" t="n">
        <v>0.52</v>
      </c>
      <c r="D10" s="19" t="n">
        <v>0.59</v>
      </c>
      <c r="E10" s="19" t="n">
        <v>0.71</v>
      </c>
      <c r="F10" s="19" t="n">
        <v>1.01</v>
      </c>
      <c r="G10" s="19" t="n">
        <v>1.23</v>
      </c>
      <c r="H10" s="19" t="n">
        <v>1.37</v>
      </c>
      <c r="I10" s="19" t="n">
        <v>1.93</v>
      </c>
      <c r="J10" s="2" t="n"/>
      <c r="K10" s="2" t="n"/>
    </row>
    <row r="11">
      <c r="A11" s="2" t="n"/>
      <c r="B11" s="2" t="n"/>
      <c r="C11" s="2" t="n"/>
      <c r="D11" s="2" t="n"/>
      <c r="E11" s="2" t="n"/>
      <c r="F11" s="2" t="n"/>
      <c r="G11" s="2" t="n"/>
      <c r="H11" s="2" t="n"/>
      <c r="I11" s="2" t="n"/>
      <c r="J11" s="2" t="n"/>
      <c r="K11" s="2" t="n"/>
    </row>
    <row r="12">
      <c r="A12" s="62" t="inlineStr">
        <is>
          <t>2. By cycle phase  (OPM median split = 7.54%)</t>
        </is>
      </c>
      <c r="B12" s="2" t="n"/>
      <c r="C12" s="2" t="n"/>
      <c r="D12" s="2" t="n"/>
      <c r="E12" s="2" t="n"/>
      <c r="F12" s="2" t="n"/>
      <c r="G12" s="2" t="n"/>
      <c r="H12" s="2" t="n"/>
      <c r="I12" s="2" t="n"/>
      <c r="J12" s="2" t="n"/>
      <c r="K12" s="2" t="n"/>
    </row>
    <row r="13">
      <c r="A13" s="43" t="inlineStr">
        <is>
          <t>Phase</t>
        </is>
      </c>
      <c r="B13" s="43" t="inlineStr">
        <is>
          <t>months</t>
        </is>
      </c>
      <c r="C13" s="43" t="inlineStr">
        <is>
          <t>OPM med %</t>
        </is>
      </c>
      <c r="D13" s="43" t="inlineStr">
        <is>
          <t>P/E p25</t>
        </is>
      </c>
      <c r="E13" s="43" t="inlineStr">
        <is>
          <t>P/E med</t>
        </is>
      </c>
      <c r="F13" s="43" t="inlineStr">
        <is>
          <t>P/E p75</t>
        </is>
      </c>
      <c r="G13" s="43" t="inlineStr">
        <is>
          <t>P/B min</t>
        </is>
      </c>
      <c r="H13" s="43" t="inlineStr">
        <is>
          <t>P/B p25</t>
        </is>
      </c>
      <c r="I13" s="43" t="inlineStr">
        <is>
          <t>P/B med</t>
        </is>
      </c>
      <c r="J13" s="43" t="inlineStr">
        <is>
          <t>P/B p75</t>
        </is>
      </c>
      <c r="K13" s="43" t="inlineStr">
        <is>
          <t>P/B max</t>
        </is>
      </c>
    </row>
    <row r="14">
      <c r="A14" s="2" t="inlineStr">
        <is>
          <t>1 Recovery (低OPM・回升)</t>
        </is>
      </c>
      <c r="B14" s="2" t="n">
        <v>36</v>
      </c>
      <c r="C14" s="26" t="n">
        <v>6.4</v>
      </c>
      <c r="D14" s="26" t="n">
        <v>9.4</v>
      </c>
      <c r="E14" s="26" t="n">
        <v>10.7</v>
      </c>
      <c r="F14" s="26" t="n">
        <v>14</v>
      </c>
      <c r="G14" s="19" t="n">
        <v>0.5600000000000001</v>
      </c>
      <c r="H14" s="19" t="n">
        <v>0.64</v>
      </c>
      <c r="I14" s="19" t="n">
        <v>0.74</v>
      </c>
      <c r="J14" s="19" t="n">
        <v>0.82</v>
      </c>
      <c r="K14" s="19" t="n">
        <v>1.34</v>
      </c>
    </row>
    <row r="15">
      <c r="A15" s="2" t="inlineStr">
        <is>
          <t>2 Expansion (高OPM・上行)</t>
        </is>
      </c>
      <c r="B15" s="2" t="n">
        <v>57</v>
      </c>
      <c r="C15" s="26" t="n">
        <v>9.300000000000001</v>
      </c>
      <c r="D15" s="26" t="n">
        <v>7.9</v>
      </c>
      <c r="E15" s="26" t="n">
        <v>9</v>
      </c>
      <c r="F15" s="26" t="n">
        <v>10.5</v>
      </c>
      <c r="G15" s="19" t="n">
        <v>0.71</v>
      </c>
      <c r="H15" s="19" t="n">
        <v>1.18</v>
      </c>
      <c r="I15" s="19" t="n">
        <v>1.27</v>
      </c>
      <c r="J15" s="19" t="n">
        <v>1.46</v>
      </c>
      <c r="K15" s="19" t="n">
        <v>1.93</v>
      </c>
    </row>
    <row r="16">
      <c r="A16" s="2" t="inlineStr">
        <is>
          <t>3 Early-down (高OPM・转跌)</t>
        </is>
      </c>
      <c r="B16" s="2" t="n">
        <v>39</v>
      </c>
      <c r="C16" s="26" t="n">
        <v>9.300000000000001</v>
      </c>
      <c r="D16" s="26" t="n">
        <v>7.8</v>
      </c>
      <c r="E16" s="26" t="n">
        <v>9.800000000000001</v>
      </c>
      <c r="F16" s="26" t="n">
        <v>12.3</v>
      </c>
      <c r="G16" s="19" t="n">
        <v>0.87</v>
      </c>
      <c r="H16" s="19" t="n">
        <v>1.05</v>
      </c>
      <c r="I16" s="19" t="n">
        <v>1.13</v>
      </c>
      <c r="J16" s="19" t="n">
        <v>1.23</v>
      </c>
      <c r="K16" s="19" t="n">
        <v>1.45</v>
      </c>
    </row>
    <row r="17">
      <c r="A17" s="2" t="inlineStr">
        <is>
          <t>4 Trough (低OPM・下行)</t>
        </is>
      </c>
      <c r="B17" s="2" t="n">
        <v>59</v>
      </c>
      <c r="C17" s="26" t="n">
        <v>2.9</v>
      </c>
      <c r="D17" s="26" t="n">
        <v>10.6</v>
      </c>
      <c r="E17" s="26" t="n">
        <v>13.5</v>
      </c>
      <c r="F17" s="26" t="n">
        <v>33.7</v>
      </c>
      <c r="G17" s="19" t="n">
        <v>0.52</v>
      </c>
      <c r="H17" s="19" t="n">
        <v>0.58</v>
      </c>
      <c r="I17" s="19" t="n">
        <v>0.6899999999999999</v>
      </c>
      <c r="J17" s="19" t="n">
        <v>0.75</v>
      </c>
      <c r="K17" s="19" t="n">
        <v>1.27</v>
      </c>
    </row>
    <row r="18">
      <c r="A18" s="2" t="n"/>
      <c r="B18" s="2" t="n"/>
      <c r="C18" s="2" t="n"/>
      <c r="D18" s="2" t="n"/>
      <c r="E18" s="2" t="n"/>
      <c r="F18" s="2" t="n"/>
      <c r="G18" s="2" t="n"/>
      <c r="H18" s="2" t="n"/>
      <c r="I18" s="2" t="n"/>
      <c r="J18" s="2" t="n"/>
      <c r="K18" s="2" t="n"/>
    </row>
    <row r="19">
      <c r="A19" s="62" t="inlineStr">
        <is>
          <t>3. Cycle extremes (±12M local, PIT). 'prov' = inside the last 12M, no right-hand side yet</t>
        </is>
      </c>
      <c r="B19" s="2" t="n"/>
      <c r="C19" s="2" t="n"/>
      <c r="D19" s="2" t="n"/>
      <c r="E19" s="2" t="n"/>
      <c r="F19" s="2" t="n"/>
      <c r="G19" s="2" t="n"/>
      <c r="H19" s="2" t="n"/>
      <c r="I19" s="2" t="n"/>
      <c r="J19" s="2" t="n"/>
      <c r="K19" s="2" t="n"/>
    </row>
    <row r="20">
      <c r="A20" s="43" t="inlineStr">
        <is>
          <t>Event</t>
        </is>
      </c>
      <c r="B20" s="43" t="inlineStr">
        <is>
          <t>Date</t>
        </is>
      </c>
      <c r="C20" s="43" t="inlineStr">
        <is>
          <t>Price</t>
        </is>
      </c>
      <c r="D20" s="43" t="inlineStr">
        <is>
          <t>TTM OP (億)</t>
        </is>
      </c>
      <c r="E20" s="43" t="inlineStr">
        <is>
          <t>OPM %</t>
        </is>
      </c>
      <c r="F20" s="43" t="inlineStr">
        <is>
          <t>TTM EPS</t>
        </is>
      </c>
      <c r="G20" s="43" t="inlineStr">
        <is>
          <t>BPS</t>
        </is>
      </c>
      <c r="H20" s="43" t="inlineStr">
        <is>
          <t>P/E</t>
        </is>
      </c>
      <c r="I20" s="43" t="inlineStr">
        <is>
          <t>P/B</t>
        </is>
      </c>
      <c r="J20" s="43" t="inlineStr">
        <is>
          <t>confirmed</t>
        </is>
      </c>
      <c r="K20" s="2" t="n"/>
    </row>
    <row r="21">
      <c r="A21" s="2" t="inlineStr">
        <is>
          <t>盈利峰 OP peak</t>
        </is>
      </c>
      <c r="B21" s="2" t="inlineStr">
        <is>
          <t>2010-08</t>
        </is>
      </c>
      <c r="C21" s="13" t="n">
        <v>762</v>
      </c>
      <c r="D21" s="8" t="n">
        <v>497</v>
      </c>
      <c r="E21" s="26" t="n">
        <v>8.6</v>
      </c>
      <c r="F21" s="13" t="n">
        <v>101</v>
      </c>
      <c r="G21" s="13" t="n">
        <v>703</v>
      </c>
      <c r="H21" s="26" t="n">
        <v>7.6</v>
      </c>
      <c r="I21" s="19" t="n">
        <v>1.08</v>
      </c>
      <c r="J21" s="2" t="inlineStr">
        <is>
          <t>yes</t>
        </is>
      </c>
      <c r="K21" s="2" t="n"/>
    </row>
    <row r="22">
      <c r="A22" s="2" t="inlineStr">
        <is>
          <t>盈利峰 OP peak</t>
        </is>
      </c>
      <c r="B22" s="2" t="inlineStr">
        <is>
          <t>2015-02</t>
        </is>
      </c>
      <c r="C22" s="13" t="n">
        <v>2068</v>
      </c>
      <c r="D22" s="8" t="n">
        <v>863</v>
      </c>
      <c r="E22" s="26" t="n">
        <v>10.3</v>
      </c>
      <c r="F22" s="13" t="n">
        <v>203</v>
      </c>
      <c r="G22" s="13" t="n">
        <v>1576</v>
      </c>
      <c r="H22" s="26" t="n">
        <v>10.2</v>
      </c>
      <c r="I22" s="19" t="n">
        <v>1.31</v>
      </c>
      <c r="J22" s="2" t="inlineStr">
        <is>
          <t>yes</t>
        </is>
      </c>
      <c r="K22" s="2" t="n"/>
    </row>
    <row r="23">
      <c r="A23" s="2" t="inlineStr">
        <is>
          <t>盈利峰 OP peak</t>
        </is>
      </c>
      <c r="B23" s="2" t="inlineStr">
        <is>
          <t>2018-08</t>
        </is>
      </c>
      <c r="C23" s="13" t="n">
        <v>1648</v>
      </c>
      <c r="D23" s="8" t="n">
        <v>733</v>
      </c>
      <c r="E23" s="26" t="n">
        <v>8.1</v>
      </c>
      <c r="F23" s="13" t="n">
        <v>190</v>
      </c>
      <c r="G23" s="13" t="n">
        <v>1726</v>
      </c>
      <c r="H23" s="26" t="n">
        <v>8.699999999999999</v>
      </c>
      <c r="I23" s="19" t="n">
        <v>0.95</v>
      </c>
      <c r="J23" s="2" t="inlineStr">
        <is>
          <t>yes</t>
        </is>
      </c>
      <c r="K23" s="2" t="n"/>
    </row>
    <row r="24">
      <c r="A24" s="2" t="inlineStr">
        <is>
          <t>盈利峰 OP peak</t>
        </is>
      </c>
      <c r="B24" s="2" t="inlineStr">
        <is>
          <t>2021-08</t>
        </is>
      </c>
      <c r="C24" s="13" t="n">
        <v>1319</v>
      </c>
      <c r="D24" s="8" t="n">
        <v>703</v>
      </c>
      <c r="E24" s="26" t="n">
        <v>7.9</v>
      </c>
      <c r="F24" s="13" t="n">
        <v>199</v>
      </c>
      <c r="G24" s="13" t="n">
        <v>1856</v>
      </c>
      <c r="H24" s="26" t="n">
        <v>6.6</v>
      </c>
      <c r="I24" s="19" t="n">
        <v>0.71</v>
      </c>
      <c r="J24" s="2" t="inlineStr">
        <is>
          <t>yes</t>
        </is>
      </c>
      <c r="K24" s="2" t="n"/>
    </row>
    <row r="25">
      <c r="A25" s="2" t="inlineStr">
        <is>
          <t>盈利峰 OP peak</t>
        </is>
      </c>
      <c r="B25" s="2" t="inlineStr">
        <is>
          <t>2024-08</t>
        </is>
      </c>
      <c r="C25" s="13" t="n">
        <v>1487</v>
      </c>
      <c r="D25" s="8" t="n">
        <v>896</v>
      </c>
      <c r="E25" s="26" t="n">
        <v>7.4</v>
      </c>
      <c r="F25" s="13" t="n">
        <v>257</v>
      </c>
      <c r="G25" s="13" t="n">
        <v>2651</v>
      </c>
      <c r="H25" s="26" t="n">
        <v>5.8</v>
      </c>
      <c r="I25" s="19" t="n">
        <v>0.5600000000000001</v>
      </c>
      <c r="J25" s="2" t="inlineStr">
        <is>
          <t>yes</t>
        </is>
      </c>
      <c r="K25" s="2" t="n"/>
    </row>
    <row r="26">
      <c r="A26" s="2" t="inlineStr">
        <is>
          <t>盈利峰 OP peak</t>
        </is>
      </c>
      <c r="B26" s="2" t="inlineStr">
        <is>
          <t>2026-08</t>
        </is>
      </c>
      <c r="C26" s="13" t="n">
        <v>2245</v>
      </c>
      <c r="D26" s="8" t="n">
        <v>937</v>
      </c>
      <c r="E26" s="26" t="n">
        <v>7.5</v>
      </c>
      <c r="F26" s="13" t="n">
        <v>235</v>
      </c>
      <c r="G26" s="13" t="n">
        <v>2870</v>
      </c>
      <c r="H26" s="26" t="n">
        <v>9.5</v>
      </c>
      <c r="I26" s="19" t="n">
        <v>0.78</v>
      </c>
      <c r="J26" s="2" t="inlineStr">
        <is>
          <t>prov</t>
        </is>
      </c>
      <c r="K26" s="2" t="n"/>
    </row>
    <row r="27">
      <c r="A27" s="2" t="n"/>
      <c r="B27" s="2" t="n"/>
      <c r="C27" s="2" t="n"/>
      <c r="D27" s="2" t="n"/>
      <c r="E27" s="2" t="n"/>
      <c r="F27" s="2" t="n"/>
      <c r="G27" s="2" t="n"/>
      <c r="H27" s="2" t="n"/>
      <c r="I27" s="2" t="n"/>
      <c r="J27" s="2" t="n"/>
      <c r="K27" s="2" t="n"/>
    </row>
    <row r="28">
      <c r="A28" s="2" t="inlineStr">
        <is>
          <t>盈利谷 OP trough</t>
        </is>
      </c>
      <c r="B28" s="2" t="inlineStr">
        <is>
          <t>2010-02</t>
        </is>
      </c>
      <c r="C28" s="13" t="n">
        <v>724</v>
      </c>
      <c r="D28" s="8" t="n">
        <v>287</v>
      </c>
      <c r="E28" s="26" t="n">
        <v>5.5</v>
      </c>
      <c r="F28" s="13" t="n">
        <v>35</v>
      </c>
      <c r="G28" s="13" t="n">
        <v>713</v>
      </c>
      <c r="H28" s="26" t="n">
        <v>20.9</v>
      </c>
      <c r="I28" s="19" t="n">
        <v>1.02</v>
      </c>
      <c r="J28" s="2" t="inlineStr">
        <is>
          <t>yes</t>
        </is>
      </c>
      <c r="K28" s="2" t="n"/>
    </row>
    <row r="29">
      <c r="A29" s="2" t="inlineStr">
        <is>
          <t>盈利谷 OP trough</t>
        </is>
      </c>
      <c r="B29" s="2" t="inlineStr">
        <is>
          <t>2011-08</t>
        </is>
      </c>
      <c r="C29" s="13" t="n">
        <v>962</v>
      </c>
      <c r="D29" s="8" t="n">
        <v>470</v>
      </c>
      <c r="E29" s="26" t="n">
        <v>7.5</v>
      </c>
      <c r="F29" s="13" t="n">
        <v>76</v>
      </c>
      <c r="G29" s="13" t="n">
        <v>723</v>
      </c>
      <c r="H29" s="26" t="n">
        <v>12.7</v>
      </c>
      <c r="I29" s="19" t="n">
        <v>1.33</v>
      </c>
      <c r="J29" s="2" t="inlineStr">
        <is>
          <t>yes</t>
        </is>
      </c>
      <c r="K29" s="2" t="n"/>
    </row>
    <row r="30">
      <c r="A30" s="2" t="inlineStr">
        <is>
          <t>盈利谷 OP trough</t>
        </is>
      </c>
      <c r="B30" s="2" t="inlineStr">
        <is>
          <t>2017-11</t>
        </is>
      </c>
      <c r="C30" s="13" t="n">
        <v>2040</v>
      </c>
      <c r="D30" s="8" t="n">
        <v>608</v>
      </c>
      <c r="E30" s="26" t="n">
        <v>7.5</v>
      </c>
      <c r="F30" s="13" t="n">
        <v>79</v>
      </c>
      <c r="G30" s="13" t="n">
        <v>1666</v>
      </c>
      <c r="H30" s="26" t="n">
        <v>25.8</v>
      </c>
      <c r="I30" s="19" t="n">
        <v>1.22</v>
      </c>
      <c r="J30" s="2" t="inlineStr">
        <is>
          <t>yes</t>
        </is>
      </c>
      <c r="K30" s="2" t="n"/>
    </row>
    <row r="31">
      <c r="A31" s="2" t="inlineStr">
        <is>
          <t>盈利谷 OP trough</t>
        </is>
      </c>
      <c r="B31" s="2" t="inlineStr">
        <is>
          <t>2020-08</t>
        </is>
      </c>
      <c r="C31" s="13" t="n">
        <v>1021</v>
      </c>
      <c r="D31" s="8" t="n">
        <v>136</v>
      </c>
      <c r="E31" s="26" t="n">
        <v>1.7</v>
      </c>
      <c r="F31" s="13" t="n">
        <v>-14</v>
      </c>
      <c r="G31" s="13" t="n">
        <v>1587</v>
      </c>
      <c r="H31" s="26" t="n">
        <v/>
      </c>
      <c r="I31" s="19" t="n">
        <v>0.64</v>
      </c>
      <c r="J31" s="2" t="inlineStr">
        <is>
          <t>yes</t>
        </is>
      </c>
      <c r="K31" s="2" t="n"/>
    </row>
    <row r="32">
      <c r="A32" s="2" t="inlineStr">
        <is>
          <t>盈利谷 OP trough</t>
        </is>
      </c>
      <c r="B32" s="2" t="inlineStr">
        <is>
          <t>2023-05</t>
        </is>
      </c>
      <c r="C32" s="13" t="n">
        <v>1232</v>
      </c>
      <c r="D32" s="8" t="n">
        <v>86</v>
      </c>
      <c r="E32" s="26" t="n">
        <v>0.8</v>
      </c>
      <c r="F32" s="13" t="n">
        <v>6</v>
      </c>
      <c r="G32" s="13" t="n">
        <v>2114</v>
      </c>
      <c r="H32" s="26" t="n">
        <v>194.4</v>
      </c>
      <c r="I32" s="19" t="n">
        <v>0.58</v>
      </c>
      <c r="J32" s="2" t="inlineStr">
        <is>
          <t>yes</t>
        </is>
      </c>
      <c r="K32" s="2" t="n"/>
    </row>
    <row r="33">
      <c r="A33" s="2" t="inlineStr">
        <is>
          <t>盈利谷 OP trough</t>
        </is>
      </c>
      <c r="B33" s="2" t="inlineStr">
        <is>
          <t>2025-08</t>
        </is>
      </c>
      <c r="C33" s="13" t="n">
        <v>1740</v>
      </c>
      <c r="D33" s="8" t="n">
        <v>-37</v>
      </c>
      <c r="E33" s="26" t="n">
        <v>-0.3</v>
      </c>
      <c r="F33" s="13" t="n">
        <v>-55</v>
      </c>
      <c r="G33" s="13" t="n">
        <v>2441</v>
      </c>
      <c r="H33" s="26" t="n">
        <v/>
      </c>
      <c r="I33" s="19" t="n">
        <v>0.71</v>
      </c>
      <c r="J33" s="2" t="inlineStr">
        <is>
          <t>yes</t>
        </is>
      </c>
      <c r="K33" s="2" t="n"/>
    </row>
    <row r="34">
      <c r="A34" s="2" t="n"/>
      <c r="B34" s="2" t="n"/>
      <c r="C34" s="2" t="n"/>
      <c r="D34" s="2" t="n"/>
      <c r="E34" s="2" t="n"/>
      <c r="F34" s="2" t="n"/>
      <c r="G34" s="2" t="n"/>
      <c r="H34" s="2" t="n"/>
      <c r="I34" s="2" t="n"/>
      <c r="J34" s="2" t="n"/>
      <c r="K34" s="2" t="n"/>
    </row>
    <row r="35">
      <c r="A35" s="2" t="inlineStr">
        <is>
          <t>股价顶 Price top</t>
        </is>
      </c>
      <c r="B35" s="2" t="inlineStr">
        <is>
          <t>2013-04</t>
        </is>
      </c>
      <c r="C35" s="13" t="n">
        <v>1797</v>
      </c>
      <c r="D35" s="8" t="n">
        <v>697</v>
      </c>
      <c r="E35" s="26" t="n">
        <v>9.800000000000001</v>
      </c>
      <c r="F35" s="13" t="n">
        <v>135</v>
      </c>
      <c r="G35" s="13" t="n">
        <v>931</v>
      </c>
      <c r="H35" s="26" t="n">
        <v>13.3</v>
      </c>
      <c r="I35" s="19" t="n">
        <v>1.93</v>
      </c>
      <c r="J35" s="2" t="inlineStr">
        <is>
          <t>yes</t>
        </is>
      </c>
      <c r="K35" s="2" t="n"/>
    </row>
    <row r="36">
      <c r="A36" s="2" t="inlineStr">
        <is>
          <t>股价顶 Price top</t>
        </is>
      </c>
      <c r="B36" s="2" t="inlineStr">
        <is>
          <t>2015-04</t>
        </is>
      </c>
      <c r="C36" s="13" t="n">
        <v>2221</v>
      </c>
      <c r="D36" s="8" t="n">
        <v>863</v>
      </c>
      <c r="E36" s="26" t="n">
        <v>10.3</v>
      </c>
      <c r="F36" s="13" t="n">
        <v>203</v>
      </c>
      <c r="G36" s="13" t="n">
        <v>1576</v>
      </c>
      <c r="H36" s="26" t="n">
        <v>11</v>
      </c>
      <c r="I36" s="19" t="n">
        <v>1.41</v>
      </c>
      <c r="J36" s="2" t="inlineStr">
        <is>
          <t>yes</t>
        </is>
      </c>
      <c r="K36" s="2" t="n"/>
    </row>
    <row r="37">
      <c r="A37" s="2" t="inlineStr">
        <is>
          <t>股价顶 Price top</t>
        </is>
      </c>
      <c r="B37" s="2" t="inlineStr">
        <is>
          <t>2017-10</t>
        </is>
      </c>
      <c r="C37" s="13" t="n">
        <v>2144</v>
      </c>
      <c r="D37" s="8" t="n">
        <v>637</v>
      </c>
      <c r="E37" s="26" t="n">
        <v>8.1</v>
      </c>
      <c r="F37" s="13" t="n">
        <v>98</v>
      </c>
      <c r="G37" s="13" t="n">
        <v>1639</v>
      </c>
      <c r="H37" s="26" t="n">
        <v>21.9</v>
      </c>
      <c r="I37" s="19" t="n">
        <v>1.31</v>
      </c>
      <c r="J37" s="2" t="inlineStr">
        <is>
          <t>yes</t>
        </is>
      </c>
      <c r="K37" s="2" t="n"/>
    </row>
    <row r="38">
      <c r="A38" s="2" t="inlineStr">
        <is>
          <t>股价顶 Price top</t>
        </is>
      </c>
      <c r="B38" s="2" t="inlineStr">
        <is>
          <t>2021-06</t>
        </is>
      </c>
      <c r="C38" s="13" t="n">
        <v>1533</v>
      </c>
      <c r="D38" s="8" t="n">
        <v>515</v>
      </c>
      <c r="E38" s="26" t="n">
        <v>6.3</v>
      </c>
      <c r="F38" s="13" t="n">
        <v>139</v>
      </c>
      <c r="G38" s="13" t="n">
        <v>1802</v>
      </c>
      <c r="H38" s="26" t="n">
        <v>11</v>
      </c>
      <c r="I38" s="19" t="n">
        <v>0.85</v>
      </c>
      <c r="J38" s="2" t="inlineStr">
        <is>
          <t>yes</t>
        </is>
      </c>
      <c r="K38" s="2" t="n"/>
    </row>
    <row r="39">
      <c r="A39" s="2" t="inlineStr">
        <is>
          <t>股价顶 Price top</t>
        </is>
      </c>
      <c r="B39" s="2" t="inlineStr">
        <is>
          <t>2024-04</t>
        </is>
      </c>
      <c r="C39" s="13" t="n">
        <v>1913</v>
      </c>
      <c r="D39" s="8" t="n">
        <v>645</v>
      </c>
      <c r="E39" s="26" t="n">
        <v>5.5</v>
      </c>
      <c r="F39" s="13" t="n">
        <v>141</v>
      </c>
      <c r="G39" s="13" t="n">
        <v>2373</v>
      </c>
      <c r="H39" s="26" t="n">
        <v>13.6</v>
      </c>
      <c r="I39" s="19" t="n">
        <v>0.8100000000000001</v>
      </c>
      <c r="J39" s="2" t="inlineStr">
        <is>
          <t>yes</t>
        </is>
      </c>
      <c r="K39" s="2" t="n"/>
    </row>
    <row r="40">
      <c r="A40" s="2" t="inlineStr">
        <is>
          <t>股价顶 Price top</t>
        </is>
      </c>
      <c r="B40" s="2" t="inlineStr">
        <is>
          <t>2026-02</t>
        </is>
      </c>
      <c r="C40" s="13" t="n">
        <v>2781</v>
      </c>
      <c r="D40" s="8" t="n">
        <v>826</v>
      </c>
      <c r="E40" s="26" t="n">
        <v>6.8</v>
      </c>
      <c r="F40" s="13" t="n">
        <v>192</v>
      </c>
      <c r="G40" s="13" t="n">
        <v>2724</v>
      </c>
      <c r="H40" s="26" t="n">
        <v>14.5</v>
      </c>
      <c r="I40" s="19" t="n">
        <v>1.02</v>
      </c>
      <c r="J40" s="2" t="inlineStr">
        <is>
          <t>prov</t>
        </is>
      </c>
      <c r="K40" s="2" t="n"/>
    </row>
    <row r="41">
      <c r="A41" s="2" t="n"/>
      <c r="B41" s="2" t="n"/>
      <c r="C41" s="2" t="n"/>
      <c r="D41" s="2" t="n"/>
      <c r="E41" s="2" t="n"/>
      <c r="F41" s="2" t="n"/>
      <c r="G41" s="2" t="n"/>
      <c r="H41" s="2" t="n"/>
      <c r="I41" s="2" t="n"/>
      <c r="J41" s="2" t="n"/>
      <c r="K41" s="2" t="n"/>
    </row>
    <row r="42">
      <c r="A42" s="2" t="inlineStr">
        <is>
          <t>股价底 Price bottom</t>
        </is>
      </c>
      <c r="B42" s="2" t="inlineStr">
        <is>
          <t>2009-11</t>
        </is>
      </c>
      <c r="C42" s="13" t="n">
        <v>679</v>
      </c>
      <c r="D42" s="8" t="n">
        <v>355</v>
      </c>
      <c r="E42" s="26" t="n">
        <v>3.7</v>
      </c>
      <c r="F42" s="13" t="n">
        <v>-4</v>
      </c>
      <c r="G42" s="13" t="n">
        <v>672</v>
      </c>
      <c r="H42" s="26" t="n">
        <v/>
      </c>
      <c r="I42" s="19" t="n">
        <v>1.01</v>
      </c>
      <c r="J42" s="2" t="inlineStr">
        <is>
          <t>yes</t>
        </is>
      </c>
      <c r="K42" s="2" t="n"/>
    </row>
    <row r="43">
      <c r="A43" s="2" t="inlineStr">
        <is>
          <t>股价底 Price bottom</t>
        </is>
      </c>
      <c r="B43" s="2" t="inlineStr">
        <is>
          <t>2014-03</t>
        </is>
      </c>
      <c r="C43" s="13" t="n">
        <v>1314</v>
      </c>
      <c r="D43" s="8" t="n">
        <v>771</v>
      </c>
      <c r="E43" s="26" t="n">
        <v>9.9</v>
      </c>
      <c r="F43" s="13" t="n">
        <v>171</v>
      </c>
      <c r="G43" s="13" t="n">
        <v>1257</v>
      </c>
      <c r="H43" s="26" t="n">
        <v>7.7</v>
      </c>
      <c r="I43" s="19" t="n">
        <v>1.05</v>
      </c>
      <c r="J43" s="2" t="inlineStr">
        <is>
          <t>yes</t>
        </is>
      </c>
      <c r="K43" s="2" t="n"/>
    </row>
    <row r="44">
      <c r="A44" s="2" t="inlineStr">
        <is>
          <t>股价底 Price bottom</t>
        </is>
      </c>
      <c r="B44" s="2" t="inlineStr">
        <is>
          <t>2016-06</t>
        </is>
      </c>
      <c r="C44" s="13" t="n">
        <v>1363</v>
      </c>
      <c r="D44" s="8" t="n">
        <v>786</v>
      </c>
      <c r="E44" s="26" t="n">
        <v>9.300000000000001</v>
      </c>
      <c r="F44" s="13" t="n">
        <v>247</v>
      </c>
      <c r="G44" s="13" t="n">
        <v>1559</v>
      </c>
      <c r="H44" s="26" t="n">
        <v>5.5</v>
      </c>
      <c r="I44" s="19" t="n">
        <v>0.87</v>
      </c>
      <c r="J44" s="2" t="inlineStr">
        <is>
          <t>yes</t>
        </is>
      </c>
      <c r="K44" s="2" t="n"/>
    </row>
    <row r="45">
      <c r="A45" s="2" t="inlineStr">
        <is>
          <t>股价底 Price bottom</t>
        </is>
      </c>
      <c r="B45" s="2" t="inlineStr">
        <is>
          <t>2020-07</t>
        </is>
      </c>
      <c r="C45" s="13" t="n">
        <v>876</v>
      </c>
      <c r="D45" s="8" t="n">
        <v>298</v>
      </c>
      <c r="E45" s="26" t="n">
        <v>3.4</v>
      </c>
      <c r="F45" s="13" t="n">
        <v>22</v>
      </c>
      <c r="G45" s="13" t="n">
        <v>1602</v>
      </c>
      <c r="H45" s="26" t="n">
        <v>39.6</v>
      </c>
      <c r="I45" s="19" t="n">
        <v>0.55</v>
      </c>
      <c r="J45" s="2" t="inlineStr">
        <is>
          <t>yes</t>
        </is>
      </c>
      <c r="K45" s="2" t="n"/>
    </row>
    <row r="46">
      <c r="A46" s="2" t="inlineStr">
        <is>
          <t>股价底 Price bottom</t>
        </is>
      </c>
      <c r="B46" s="2" t="inlineStr">
        <is>
          <t>2022-02</t>
        </is>
      </c>
      <c r="C46" s="13" t="n">
        <v>1111</v>
      </c>
      <c r="D46" s="8" t="n">
        <v>492</v>
      </c>
      <c r="E46" s="26" t="n">
        <v>5.3</v>
      </c>
      <c r="F46" s="13" t="n">
        <v>112</v>
      </c>
      <c r="G46" s="13" t="n">
        <v>1907</v>
      </c>
      <c r="H46" s="26" t="n">
        <v>9.9</v>
      </c>
      <c r="I46" s="19" t="n">
        <v>0.58</v>
      </c>
      <c r="J46" s="2" t="inlineStr">
        <is>
          <t>yes</t>
        </is>
      </c>
      <c r="K46" s="2" t="n"/>
    </row>
    <row r="47">
      <c r="A47" s="2" t="inlineStr">
        <is>
          <t>股价底 Price bottom</t>
        </is>
      </c>
      <c r="B47" s="2" t="inlineStr">
        <is>
          <t>2024-08</t>
        </is>
      </c>
      <c r="C47" s="13" t="n">
        <v>1487</v>
      </c>
      <c r="D47" s="8" t="n">
        <v>896</v>
      </c>
      <c r="E47" s="26" t="n">
        <v>7.4</v>
      </c>
      <c r="F47" s="13" t="n">
        <v>257</v>
      </c>
      <c r="G47" s="13" t="n">
        <v>2651</v>
      </c>
      <c r="H47" s="26" t="n">
        <v>5.8</v>
      </c>
      <c r="I47" s="19" t="n">
        <v>0.5600000000000001</v>
      </c>
      <c r="J47" s="2" t="inlineStr">
        <is>
          <t>yes</t>
        </is>
      </c>
      <c r="K47" s="2" t="n"/>
    </row>
    <row r="48">
      <c r="A48" s="2" t="n"/>
      <c r="B48" s="2" t="n"/>
      <c r="C48" s="2" t="n"/>
      <c r="D48" s="2" t="n"/>
      <c r="E48" s="2" t="n"/>
      <c r="F48" s="2" t="n"/>
      <c r="G48" s="2" t="n"/>
      <c r="H48" s="2" t="n"/>
      <c r="I48" s="2" t="n"/>
      <c r="J48" s="2" t="n"/>
      <c r="K48" s="2" t="n"/>
    </row>
    <row r="49">
      <c r="A49" s="62" t="inlineStr">
        <is>
          <t>4. Current reading</t>
        </is>
      </c>
      <c r="B49" s="2" t="n"/>
      <c r="C49" s="2" t="n"/>
      <c r="D49" s="2" t="n"/>
      <c r="E49" s="2" t="n"/>
      <c r="F49" s="2" t="n"/>
      <c r="G49" s="2" t="n"/>
      <c r="H49" s="2" t="n"/>
      <c r="I49" s="2" t="n"/>
      <c r="J49" s="2" t="n"/>
      <c r="K49" s="2" t="n"/>
    </row>
    <row r="50">
      <c r="A50" s="3" t="inlineStr">
        <is>
          <t>As of</t>
        </is>
      </c>
      <c r="B50" s="2" t="inlineStr">
        <is>
          <t>2026-09-28</t>
        </is>
      </c>
      <c r="C50" s="2" t="n"/>
      <c r="D50" s="2" t="n"/>
      <c r="E50" s="2" t="n"/>
      <c r="F50" s="2" t="n"/>
      <c r="G50" s="2" t="n"/>
      <c r="H50" s="2" t="n"/>
      <c r="I50" s="2" t="n"/>
      <c r="J50" s="2" t="n"/>
      <c r="K50" s="2" t="n"/>
    </row>
    <row r="51">
      <c r="A51" s="3" t="inlineStr">
        <is>
          <t>Price (¥)</t>
        </is>
      </c>
      <c r="B51" s="13" t="n">
        <v>2020</v>
      </c>
      <c r="C51" s="2" t="n"/>
      <c r="D51" s="2" t="n"/>
      <c r="E51" s="2" t="n"/>
      <c r="F51" s="2" t="n"/>
      <c r="G51" s="2" t="n"/>
      <c r="H51" s="2" t="n"/>
      <c r="I51" s="2" t="n"/>
      <c r="J51" s="2" t="n"/>
      <c r="K51" s="2" t="n"/>
    </row>
    <row r="52">
      <c r="A52" s="3" t="inlineStr">
        <is>
          <t>TTM EPS (¥)</t>
        </is>
      </c>
      <c r="B52" s="13" t="n">
        <v>235</v>
      </c>
      <c r="C52" s="2" t="n"/>
      <c r="D52" s="2" t="n"/>
      <c r="E52" s="2" t="n"/>
      <c r="F52" s="2" t="n"/>
      <c r="G52" s="2" t="n"/>
      <c r="H52" s="2" t="n"/>
      <c r="I52" s="2" t="n"/>
      <c r="J52" s="2" t="n"/>
      <c r="K52" s="2" t="n"/>
    </row>
    <row r="53">
      <c r="A53" s="3" t="inlineStr">
        <is>
          <t>BPS (¥)</t>
        </is>
      </c>
      <c r="B53" s="13" t="n">
        <v>2870</v>
      </c>
      <c r="C53" s="2" t="n"/>
      <c r="D53" s="2" t="n"/>
      <c r="E53" s="2" t="n"/>
      <c r="F53" s="2" t="n"/>
      <c r="G53" s="2" t="n"/>
      <c r="H53" s="2" t="n"/>
      <c r="I53" s="2" t="n"/>
      <c r="J53" s="2" t="n"/>
      <c r="K53" s="2" t="n"/>
    </row>
    <row r="54">
      <c r="A54" s="3" t="inlineStr">
        <is>
          <t>TTM OPM %</t>
        </is>
      </c>
      <c r="B54" s="26" t="n">
        <v>7.5</v>
      </c>
      <c r="C54" s="2" t="n"/>
      <c r="D54" s="2" t="n"/>
      <c r="E54" s="2" t="n"/>
      <c r="F54" s="2" t="n"/>
      <c r="G54" s="2" t="n"/>
      <c r="H54" s="2" t="n"/>
      <c r="I54" s="2" t="n"/>
      <c r="J54" s="2" t="n"/>
      <c r="K54" s="2" t="n"/>
    </row>
    <row r="55">
      <c r="A55" s="3" t="inlineStr">
        <is>
          <t>TTM OP YoY %</t>
        </is>
      </c>
      <c r="B55" s="26" t="n">
        <v>-2611.3</v>
      </c>
      <c r="C55" s="2" t="n"/>
      <c r="D55" s="2" t="n"/>
      <c r="E55" s="2" t="n"/>
      <c r="F55" s="2" t="n"/>
      <c r="G55" s="2" t="n"/>
      <c r="H55" s="2" t="n"/>
      <c r="I55" s="2" t="n"/>
      <c r="J55" s="2" t="n"/>
      <c r="K55" s="2" t="n"/>
    </row>
    <row r="56">
      <c r="A56" s="3" t="inlineStr">
        <is>
          <t>P/E</t>
        </is>
      </c>
      <c r="B56" s="26" t="n">
        <v>8.6</v>
      </c>
      <c r="C56" s="2" t="n"/>
      <c r="D56" s="2" t="n"/>
      <c r="E56" s="2" t="n"/>
      <c r="F56" s="2" t="n"/>
      <c r="G56" s="2" t="n"/>
      <c r="H56" s="2" t="n"/>
      <c r="I56" s="2" t="n"/>
      <c r="J56" s="2" t="n"/>
      <c r="K56" s="2" t="n"/>
    </row>
    <row r="57">
      <c r="A57" s="3" t="inlineStr">
        <is>
          <t>P/B</t>
        </is>
      </c>
      <c r="B57" s="19" t="n">
        <v>0.7</v>
      </c>
      <c r="C57" s="2" t="n"/>
      <c r="D57" s="2" t="n"/>
      <c r="E57" s="2" t="n"/>
      <c r="F57" s="2" t="n"/>
      <c r="G57" s="2" t="n"/>
      <c r="H57" s="2" t="n"/>
      <c r="I57" s="2" t="n"/>
      <c r="J57" s="2" t="n"/>
      <c r="K57" s="2" t="n"/>
    </row>
    <row r="58">
      <c r="A58" s="3" t="inlineStr">
        <is>
          <t>Phase (mechanical)</t>
        </is>
      </c>
      <c r="B58" s="2" t="inlineStr">
        <is>
          <t>4 Trough (低OPM・下行)</t>
        </is>
      </c>
      <c r="C58" s="2" t="n"/>
      <c r="D58" s="2" t="n"/>
      <c r="E58" s="2" t="n"/>
      <c r="F58" s="2" t="n"/>
      <c r="G58" s="2" t="n"/>
      <c r="H58" s="2" t="n"/>
      <c r="I58" s="2" t="n"/>
      <c r="J58" s="2" t="n"/>
      <c r="K58" s="2" t="n"/>
    </row>
    <row r="59">
      <c r="A59" s="2" t="n"/>
      <c r="B59" s="2" t="n"/>
      <c r="C59" s="2" t="n"/>
      <c r="D59" s="2" t="n"/>
      <c r="E59" s="2" t="n"/>
      <c r="F59" s="2" t="n"/>
      <c r="G59" s="2" t="n"/>
      <c r="H59" s="2" t="n"/>
      <c r="I59" s="2" t="n"/>
      <c r="J59" s="2" t="n"/>
      <c r="K59" s="2" t="n"/>
    </row>
    <row r="60">
      <c r="A60" s="62" t="inlineStr">
        <is>
          <t>5. ONE-YEAR-FORWARD price = band × model NTM EPS / NTM BPS (live off Valuation). NOT a fair value today: the bands above are measured on TRAILING EPS/BPS, so applying them to NTM figures prices the stock 12M out AT THAT MULTIPLE. Band × CURRENT TTM EPS/BPS is the today-fair-value read.</t>
        </is>
      </c>
      <c r="B60" s="2" t="n"/>
      <c r="C60" s="2" t="n"/>
      <c r="D60" s="2" t="n"/>
      <c r="E60" s="2" t="n"/>
      <c r="F60" s="2" t="n"/>
      <c r="G60" s="2" t="n"/>
      <c r="H60" s="2" t="n"/>
      <c r="I60" s="2" t="n"/>
      <c r="J60" s="2" t="n"/>
      <c r="K60" s="2" t="n"/>
    </row>
    <row r="61">
      <c r="A61" s="2" t="inlineStr">
        <is>
          <t>NTM EPS (¥) — Valuation!B32</t>
        </is>
      </c>
      <c r="B61" s="14">
        <f>Valuation!B32</f>
        <v/>
      </c>
      <c r="C61" s="2" t="n"/>
      <c r="D61" s="2" t="n"/>
      <c r="E61" s="2" t="n"/>
      <c r="F61" s="2" t="n"/>
      <c r="G61" s="2" t="n"/>
      <c r="H61" s="2" t="n"/>
      <c r="I61" s="2" t="n"/>
      <c r="J61" s="2" t="n"/>
      <c r="K61" s="2" t="n"/>
    </row>
    <row r="62">
      <c r="A62" s="2" t="inlineStr">
        <is>
          <t>NTM BPS (¥) — Valuation!B45</t>
        </is>
      </c>
      <c r="B62" s="14">
        <f>Valuation!B45</f>
        <v/>
      </c>
      <c r="C62" s="2" t="n"/>
      <c r="D62" s="2" t="n"/>
      <c r="E62" s="2" t="n"/>
      <c r="F62" s="2" t="n"/>
      <c r="G62" s="2" t="n"/>
      <c r="H62" s="2" t="n"/>
      <c r="I62" s="2" t="n"/>
      <c r="J62" s="2" t="n"/>
      <c r="K62" s="2" t="n"/>
    </row>
    <row r="63">
      <c r="A63" s="2" t="n"/>
      <c r="B63" s="2" t="n"/>
      <c r="C63" s="2" t="n"/>
      <c r="D63" s="2" t="n"/>
      <c r="E63" s="2" t="n"/>
      <c r="F63" s="2" t="n"/>
      <c r="G63" s="2" t="n"/>
      <c r="H63" s="2" t="n"/>
      <c r="I63" s="2" t="n"/>
      <c r="J63" s="2" t="n"/>
      <c r="K63" s="2" t="n"/>
    </row>
    <row r="64">
      <c r="A64" s="43" t="inlineStr">
        <is>
          <t>Band</t>
        </is>
      </c>
      <c r="B64" s="43" t="inlineStr">
        <is>
          <t>P/E x</t>
        </is>
      </c>
      <c r="C64" s="43" t="inlineStr">
        <is>
          <t>→ price</t>
        </is>
      </c>
      <c r="D64" s="43" t="inlineStr">
        <is>
          <t>P/B x</t>
        </is>
      </c>
      <c r="E64" s="43" t="inlineStr">
        <is>
          <t>→ price</t>
        </is>
      </c>
      <c r="F64" s="2" t="n"/>
      <c r="G64" s="2" t="n"/>
      <c r="H64" s="2" t="n"/>
      <c r="I64" s="2" t="n"/>
      <c r="J64" s="2" t="n"/>
      <c r="K64" s="2" t="n"/>
    </row>
    <row r="65">
      <c r="A65" s="2" t="inlineStr">
        <is>
          <t>Full-history p25</t>
        </is>
      </c>
      <c r="B65" s="19" t="n">
        <v>8.460000000000001</v>
      </c>
      <c r="C65" s="24">
        <f>B65*$B$61</f>
        <v/>
      </c>
      <c r="D65" s="19" t="n">
        <v>0.71</v>
      </c>
      <c r="E65" s="24">
        <f>D65*$B$62</f>
        <v/>
      </c>
      <c r="F65" s="2" t="n"/>
      <c r="G65" s="2" t="n"/>
      <c r="H65" s="2" t="n"/>
      <c r="I65" s="2" t="n"/>
      <c r="J65" s="2" t="n"/>
      <c r="K65" s="2" t="n"/>
    </row>
    <row r="66">
      <c r="A66" s="2" t="inlineStr">
        <is>
          <t>Full-history median</t>
        </is>
      </c>
      <c r="B66" s="19" t="n">
        <v>10.28</v>
      </c>
      <c r="C66" s="24">
        <f>B66*$B$61</f>
        <v/>
      </c>
      <c r="D66" s="19" t="n">
        <v>1.01</v>
      </c>
      <c r="E66" s="24">
        <f>D66*$B$62</f>
        <v/>
      </c>
      <c r="F66" s="2" t="n"/>
      <c r="G66" s="2" t="n"/>
      <c r="H66" s="2" t="n"/>
      <c r="I66" s="2" t="n"/>
      <c r="J66" s="2" t="n"/>
      <c r="K66" s="2" t="n"/>
    </row>
    <row r="67">
      <c r="A67" s="2" t="inlineStr">
        <is>
          <t>Full-history p75</t>
        </is>
      </c>
      <c r="B67" s="19" t="n">
        <v>13.12</v>
      </c>
      <c r="C67" s="24">
        <f>B67*$B$61</f>
        <v/>
      </c>
      <c r="D67" s="19" t="n">
        <v>1.23</v>
      </c>
      <c r="E67" s="24">
        <f>D67*$B$62</f>
        <v/>
      </c>
      <c r="F67" s="2" t="n"/>
      <c r="G67" s="2" t="n"/>
      <c r="H67" s="2" t="n"/>
      <c r="I67" s="2" t="n"/>
      <c r="J67" s="2" t="n"/>
      <c r="K67" s="2" t="n"/>
    </row>
    <row r="68">
      <c r="A68" s="2" t="inlineStr">
        <is>
          <t>Full-history p90</t>
        </is>
      </c>
      <c r="B68" s="19" t="n">
        <v>23.61</v>
      </c>
      <c r="C68" s="24">
        <f>B68*$B$61</f>
        <v/>
      </c>
      <c r="D68" s="19" t="n">
        <v>1.37</v>
      </c>
      <c r="E68" s="24">
        <f>D68*$B$62</f>
        <v/>
      </c>
      <c r="F68" s="2" t="n"/>
      <c r="G68" s="2" t="n"/>
      <c r="H68" s="2" t="n"/>
      <c r="I68" s="2" t="n"/>
      <c r="J68" s="2" t="n"/>
      <c r="K68" s="2" t="n"/>
    </row>
    <row r="69">
      <c r="A69" s="2" t="inlineStr">
        <is>
          <t>1 Recovery (低OPM・回升) median</t>
        </is>
      </c>
      <c r="B69" s="19" t="n">
        <v>10.68</v>
      </c>
      <c r="C69" s="24">
        <f>B69*$B$61</f>
        <v/>
      </c>
      <c r="D69" s="19" t="n">
        <v>0.74</v>
      </c>
      <c r="E69" s="24">
        <f>D69*$B$62</f>
        <v/>
      </c>
      <c r="F69" s="2" t="n"/>
      <c r="G69" s="2" t="n"/>
      <c r="H69" s="2" t="n"/>
      <c r="I69" s="2" t="n"/>
      <c r="J69" s="2" t="n"/>
      <c r="K69" s="2" t="n"/>
    </row>
    <row r="70">
      <c r="A70" s="2" t="inlineStr">
        <is>
          <t>2 Expansion (高OPM・上行) median</t>
        </is>
      </c>
      <c r="B70" s="19" t="n">
        <v>8.99</v>
      </c>
      <c r="C70" s="24">
        <f>B70*$B$61</f>
        <v/>
      </c>
      <c r="D70" s="19" t="n">
        <v>1.27</v>
      </c>
      <c r="E70" s="24">
        <f>D70*$B$62</f>
        <v/>
      </c>
      <c r="F70" s="2" t="n"/>
      <c r="G70" s="2" t="n"/>
      <c r="H70" s="2" t="n"/>
      <c r="I70" s="2" t="n"/>
      <c r="J70" s="2" t="n"/>
      <c r="K70" s="2" t="n"/>
    </row>
    <row r="71">
      <c r="A71" s="2" t="inlineStr">
        <is>
          <t>3 Early-down (高OPM・转跌) median</t>
        </is>
      </c>
      <c r="B71" s="19" t="n">
        <v>9.81</v>
      </c>
      <c r="C71" s="24">
        <f>B71*$B$61</f>
        <v/>
      </c>
      <c r="D71" s="19" t="n">
        <v>1.13</v>
      </c>
      <c r="E71" s="24">
        <f>D71*$B$62</f>
        <v/>
      </c>
      <c r="F71" s="2" t="n"/>
      <c r="G71" s="2" t="n"/>
      <c r="H71" s="2" t="n"/>
      <c r="I71" s="2" t="n"/>
      <c r="J71" s="2" t="n"/>
      <c r="K71" s="2" t="n"/>
    </row>
    <row r="72">
      <c r="A72" s="2" t="inlineStr">
        <is>
          <t>4 Trough (低OPM・下行) median</t>
        </is>
      </c>
      <c r="B72" s="19" t="n">
        <v>13.45</v>
      </c>
      <c r="C72" s="24">
        <f>B72*$B$61</f>
        <v/>
      </c>
      <c r="D72" s="19" t="n">
        <v>0.6899999999999999</v>
      </c>
      <c r="E72" s="24">
        <f>D72*$B$62</f>
        <v/>
      </c>
      <c r="F72" s="2" t="n"/>
      <c r="G72" s="2" t="n"/>
      <c r="H72" s="2" t="n"/>
      <c r="I72" s="2" t="n"/>
      <c r="J72" s="2" t="n"/>
      <c r="K72" s="2" t="n"/>
    </row>
    <row r="73">
      <c r="A73" s="2" t="n"/>
      <c r="B73" s="2" t="n"/>
      <c r="C73" s="2" t="n"/>
      <c r="D73" s="2" t="n"/>
      <c r="E73" s="2" t="n"/>
      <c r="F73" s="2" t="n"/>
      <c r="G73" s="2" t="n"/>
      <c r="H73" s="2" t="n"/>
      <c r="I73" s="2" t="n"/>
      <c r="J73" s="2" t="n"/>
      <c r="K73" s="2" t="n"/>
    </row>
    <row r="74">
      <c r="A74" s="2" t="n"/>
      <c r="B74" s="2" t="n"/>
      <c r="C74" s="2" t="n"/>
      <c r="D74" s="2" t="n"/>
      <c r="E74" s="2" t="n"/>
      <c r="F74" s="2" t="n"/>
      <c r="G74" s="2" t="n"/>
      <c r="H74" s="2" t="n"/>
      <c r="I74" s="2" t="n"/>
      <c r="J74" s="2" t="n"/>
      <c r="K74" s="2" t="n"/>
    </row>
    <row r="75">
      <c r="A75" s="62" t="inlineStr">
        <is>
          <t>6. FORWARD P/E on 会社予想 (company guidance), full history, PIT</t>
        </is>
      </c>
      <c r="B75" s="2" t="n"/>
      <c r="C75" s="2" t="n"/>
      <c r="D75" s="2" t="n"/>
      <c r="E75" s="2" t="n"/>
      <c r="F75" s="2" t="n"/>
      <c r="G75" s="2" t="n"/>
      <c r="H75" s="2" t="n"/>
      <c r="I75" s="2" t="n"/>
      <c r="J75" s="2" t="n"/>
      <c r="K75" s="2" t="n"/>
    </row>
    <row r="76">
      <c r="A76" s="2" t="inlineStr">
        <is>
          <t>A CONSENSUS forward band is not buildable here — PIT consensus snapshots only start 2026-04-09 (~5 months). Company guidance is carried PIT in fins_summary since 2008, and 会社予想PER is the multiple the JP market actually quotes. The sandbag is handled explicitly by the beat table below, not left implicit in the multiple.</t>
        </is>
      </c>
      <c r="B76" s="2" t="n"/>
      <c r="C76" s="2" t="n"/>
      <c r="D76" s="2" t="n"/>
      <c r="E76" s="2" t="n"/>
      <c r="F76" s="2" t="n"/>
      <c r="G76" s="2" t="n"/>
      <c r="H76" s="2" t="n"/>
      <c r="I76" s="2" t="n"/>
      <c r="J76" s="2" t="n"/>
      <c r="K76" s="2" t="n"/>
    </row>
    <row r="77">
      <c r="A77" s="2" t="n"/>
      <c r="B77" s="2" t="n"/>
      <c r="C77" s="2" t="n"/>
      <c r="D77" s="2" t="n"/>
      <c r="E77" s="2" t="n"/>
      <c r="F77" s="2" t="n"/>
      <c r="G77" s="2" t="n"/>
      <c r="H77" s="2" t="n"/>
      <c r="I77" s="2" t="n"/>
      <c r="J77" s="2" t="n"/>
      <c r="K77" s="2" t="n"/>
    </row>
    <row r="78">
      <c r="A78" s="43" t="inlineStr">
        <is>
          <t>Guide horizon (compare LIKE FOR LIKE)</t>
        </is>
      </c>
      <c r="B78" s="43" t="inlineStr">
        <is>
          <t>n</t>
        </is>
      </c>
      <c r="C78" s="43" t="inlineStr">
        <is>
          <t>min</t>
        </is>
      </c>
      <c r="D78" s="43" t="inlineStr">
        <is>
          <t>p10</t>
        </is>
      </c>
      <c r="E78" s="43" t="inlineStr">
        <is>
          <t>p25</t>
        </is>
      </c>
      <c r="F78" s="43" t="inlineStr">
        <is>
          <t>median</t>
        </is>
      </c>
      <c r="G78" s="43" t="inlineStr">
        <is>
          <t>p75</t>
        </is>
      </c>
      <c r="H78" s="43" t="inlineStr">
        <is>
          <t>p90</t>
        </is>
      </c>
      <c r="I78" s="43" t="inlineStr">
        <is>
          <t>max</t>
        </is>
      </c>
      <c r="J78" s="2" t="n"/>
      <c r="K78" s="2" t="n"/>
    </row>
    <row r="79">
      <c r="A79" s="2" t="inlineStr">
        <is>
          <t>9-11M left (期初 4-6月)</t>
        </is>
      </c>
      <c r="B79" s="2" t="n">
        <v>34</v>
      </c>
      <c r="C79" s="26" t="n">
        <v>7.4</v>
      </c>
      <c r="D79" s="26" t="n">
        <v>8</v>
      </c>
      <c r="E79" s="26" t="n">
        <v>9.6</v>
      </c>
      <c r="F79" s="26" t="n">
        <v>10.9</v>
      </c>
      <c r="G79" s="26" t="n">
        <v>13.3</v>
      </c>
      <c r="H79" s="26" t="n">
        <v>18.7</v>
      </c>
      <c r="I79" s="26" t="n">
        <v>25.7</v>
      </c>
      <c r="J79" s="2" t="n"/>
      <c r="K79" s="2" t="n"/>
    </row>
    <row r="80">
      <c r="A80" s="2" t="inlineStr">
        <is>
          <t>6-8M left (1Q後 7-9月)</t>
        </is>
      </c>
      <c r="B80" s="2" t="n">
        <v>51</v>
      </c>
      <c r="C80" s="26" t="n">
        <v>6.3</v>
      </c>
      <c r="D80" s="26" t="n">
        <v>8</v>
      </c>
      <c r="E80" s="26" t="n">
        <v>9.5</v>
      </c>
      <c r="F80" s="26" t="n">
        <v>10.5</v>
      </c>
      <c r="G80" s="26" t="n">
        <v>12.9</v>
      </c>
      <c r="H80" s="26" t="n">
        <v>20.7</v>
      </c>
      <c r="I80" s="26" t="n">
        <v>26.4</v>
      </c>
      <c r="J80" s="2" t="n"/>
      <c r="K80" s="2" t="n"/>
    </row>
    <row r="81">
      <c r="A81" s="3" t="inlineStr">
        <is>
          <t>3-5M left (2Q後 10-12月)   ← CURRENT</t>
        </is>
      </c>
      <c r="B81" s="2" t="n">
        <v>53</v>
      </c>
      <c r="C81" s="26" t="n">
        <v>6.7</v>
      </c>
      <c r="D81" s="26" t="n">
        <v>7.9</v>
      </c>
      <c r="E81" s="26" t="n">
        <v>9.199999999999999</v>
      </c>
      <c r="F81" s="26" t="n">
        <v>10.4</v>
      </c>
      <c r="G81" s="26" t="n">
        <v>13.2</v>
      </c>
      <c r="H81" s="26" t="n">
        <v>22.7</v>
      </c>
      <c r="I81" s="26" t="n">
        <v>58.6</v>
      </c>
      <c r="J81" s="2" t="n"/>
      <c r="K81" s="2" t="n"/>
    </row>
    <row r="82">
      <c r="A82" s="2" t="inlineStr">
        <is>
          <t>0-2M left (3Q後 1-3月)</t>
        </is>
      </c>
      <c r="B82" s="2" t="n">
        <v>49</v>
      </c>
      <c r="C82" s="26" t="n">
        <v>7.2</v>
      </c>
      <c r="D82" s="26" t="n">
        <v>8.4</v>
      </c>
      <c r="E82" s="26" t="n">
        <v>9.300000000000001</v>
      </c>
      <c r="F82" s="26" t="n">
        <v>11.7</v>
      </c>
      <c r="G82" s="26" t="n">
        <v>15.5</v>
      </c>
      <c r="H82" s="26" t="n">
        <v>26.1</v>
      </c>
      <c r="I82" s="26" t="n">
        <v>55.6</v>
      </c>
      <c r="J82" s="2" t="n"/>
      <c r="K82" s="2" t="n"/>
    </row>
    <row r="83">
      <c r="A83" s="2" t="inlineStr">
        <is>
          <t>All horizons pooled</t>
        </is>
      </c>
      <c r="B83" s="2" t="n">
        <v>187</v>
      </c>
      <c r="C83" s="26" t="n">
        <v>6.3</v>
      </c>
      <c r="D83" s="26" t="n">
        <v>8</v>
      </c>
      <c r="E83" s="26" t="n">
        <v>9.300000000000001</v>
      </c>
      <c r="F83" s="26" t="n">
        <v>10.6</v>
      </c>
      <c r="G83" s="26" t="n">
        <v>14</v>
      </c>
      <c r="H83" s="26" t="n">
        <v>21.5</v>
      </c>
      <c r="I83" s="26" t="n">
        <v>58.6</v>
      </c>
      <c r="J83" s="2" t="n"/>
      <c r="K83" s="2" t="n"/>
    </row>
    <row r="84">
      <c r="A84" s="2" t="n"/>
      <c r="B84" s="2" t="n"/>
      <c r="C84" s="2" t="n"/>
      <c r="D84" s="2" t="n"/>
      <c r="E84" s="2" t="n"/>
      <c r="F84" s="2" t="n"/>
      <c r="G84" s="2" t="n"/>
      <c r="H84" s="2" t="n"/>
      <c r="I84" s="2" t="n"/>
      <c r="J84" s="2" t="n"/>
      <c r="K84" s="2" t="n"/>
    </row>
    <row r="85">
      <c r="A85" s="2" t="inlineStr">
        <is>
          <t>Guide EPS in force (¥)</t>
        </is>
      </c>
      <c r="B85" s="11" t="n">
        <v>209.25</v>
      </c>
      <c r="C85" s="2" t="n"/>
      <c r="D85" s="2" t="n"/>
      <c r="E85" s="2" t="n"/>
      <c r="F85" s="2" t="n"/>
      <c r="G85" s="2" t="n"/>
      <c r="H85" s="2" t="n"/>
      <c r="I85" s="2" t="n"/>
      <c r="J85" s="2" t="n"/>
      <c r="K85" s="2" t="n"/>
    </row>
    <row r="86">
      <c r="A86" s="2" t="inlineStr">
        <is>
          <t>Guided FY end</t>
        </is>
      </c>
      <c r="B86" s="2" t="inlineStr">
        <is>
          <t>2026-12</t>
        </is>
      </c>
      <c r="C86" s="2" t="n"/>
      <c r="D86" s="2" t="n"/>
      <c r="E86" s="2" t="n"/>
      <c r="F86" s="2" t="n"/>
      <c r="G86" s="2" t="n"/>
      <c r="H86" s="2" t="n"/>
      <c r="I86" s="2" t="n"/>
      <c r="J86" s="2" t="n"/>
      <c r="K86" s="2" t="n"/>
    </row>
    <row r="87">
      <c r="A87" s="2" t="inlineStr">
        <is>
          <t>Months of guide left</t>
        </is>
      </c>
      <c r="B87" s="2" t="n">
        <v>3</v>
      </c>
      <c r="C87" s="2" t="n"/>
      <c r="D87" s="2" t="n"/>
      <c r="E87" s="2" t="n"/>
      <c r="F87" s="2" t="n"/>
      <c r="G87" s="2" t="n"/>
      <c r="H87" s="2" t="n"/>
      <c r="I87" s="2" t="n"/>
      <c r="J87" s="2" t="n"/>
      <c r="K87" s="2" t="n"/>
    </row>
    <row r="88">
      <c r="A88" s="3" t="inlineStr">
        <is>
          <t>CURRENT 会社予想 fwd P/E</t>
        </is>
      </c>
      <c r="B88" s="19" t="n">
        <v>9.65</v>
      </c>
      <c r="C88" s="2" t="n"/>
      <c r="D88" s="2" t="n"/>
      <c r="E88" s="2" t="n"/>
      <c r="F88" s="2" t="n"/>
      <c r="G88" s="2" t="n"/>
      <c r="H88" s="2" t="n"/>
      <c r="I88" s="2" t="n"/>
      <c r="J88" s="2" t="n"/>
      <c r="K88" s="2" t="n"/>
    </row>
    <row r="89">
      <c r="A89" s="2" t="inlineStr">
        <is>
          <t xml:space="preserve">  percentile within the SAME horizon bucket</t>
        </is>
      </c>
      <c r="B89" s="26" t="n">
        <v>34</v>
      </c>
      <c r="C89" s="2" t="n"/>
      <c r="D89" s="2" t="n"/>
      <c r="E89" s="2" t="n"/>
      <c r="F89" s="2" t="n"/>
      <c r="G89" s="2" t="n"/>
      <c r="H89" s="2" t="n"/>
      <c r="I89" s="2" t="n"/>
      <c r="J89" s="2" t="n"/>
      <c r="K89" s="2" t="n"/>
    </row>
    <row r="90">
      <c r="A90" s="2" t="n"/>
      <c r="B90" s="2" t="n"/>
      <c r="C90" s="2" t="n"/>
      <c r="D90" s="2" t="n"/>
      <c r="E90" s="2" t="n"/>
      <c r="F90" s="2" t="n"/>
      <c r="G90" s="2" t="n"/>
      <c r="H90" s="2" t="n"/>
      <c r="I90" s="2" t="n"/>
      <c r="J90" s="2" t="n"/>
      <c r="K90" s="2" t="n"/>
    </row>
    <row r="91">
      <c r="A91" s="3" t="inlineStr">
        <is>
          <t>Sandbag check — actual FY EPS ÷ the FIRST guide issued for that FY</t>
        </is>
      </c>
      <c r="B91" s="2" t="n"/>
      <c r="C91" s="2" t="n"/>
      <c r="D91" s="2" t="n"/>
      <c r="E91" s="2" t="n"/>
      <c r="F91" s="2" t="n"/>
      <c r="G91" s="2" t="n"/>
      <c r="H91" s="2" t="n"/>
      <c r="I91" s="2" t="n"/>
      <c r="J91" s="2" t="n"/>
      <c r="K91" s="2" t="n"/>
    </row>
    <row r="92">
      <c r="A92" s="43" t="inlineStr">
        <is>
          <t>Stat</t>
        </is>
      </c>
      <c r="B92" s="43" t="inlineStr">
        <is>
          <t>n</t>
        </is>
      </c>
      <c r="C92" s="43" t="inlineStr">
        <is>
          <t>min</t>
        </is>
      </c>
      <c r="D92" s="43" t="inlineStr">
        <is>
          <t>p25</t>
        </is>
      </c>
      <c r="E92" s="43" t="inlineStr">
        <is>
          <t>median</t>
        </is>
      </c>
      <c r="F92" s="43" t="inlineStr">
        <is>
          <t>p75</t>
        </is>
      </c>
      <c r="G92" s="43" t="inlineStr">
        <is>
          <t>max</t>
        </is>
      </c>
      <c r="H92" s="43" t="inlineStr">
        <is>
          <t>beat rate %</t>
        </is>
      </c>
      <c r="I92" s="2" t="n"/>
      <c r="J92" s="2" t="n"/>
      <c r="K92" s="2" t="n"/>
    </row>
    <row r="93">
      <c r="A93" s="3" t="inlineStr">
        <is>
          <t>guide → actual factor</t>
        </is>
      </c>
      <c r="B93" s="2" t="n">
        <v>16</v>
      </c>
      <c r="C93" s="38" t="n">
        <v>0.267</v>
      </c>
      <c r="D93" s="38" t="n">
        <v>0.703</v>
      </c>
      <c r="E93" s="38" t="n">
        <v>1.054</v>
      </c>
      <c r="F93" s="38" t="n">
        <v>1.245</v>
      </c>
      <c r="G93" s="38" t="n">
        <v>3.155</v>
      </c>
      <c r="H93" s="28" t="n">
        <v>62</v>
      </c>
      <c r="I93" s="2" t="n"/>
      <c r="J93" s="2" t="n"/>
      <c r="K93" s="2" t="n"/>
    </row>
    <row r="94">
      <c r="A94" s="2" t="inlineStr">
        <is>
          <t>Read: a factor of 1.20 means the company came in 20% above its own opening guide. The max is a post-crash artefact (guide reset to near-zero), so use the median.</t>
        </is>
      </c>
      <c r="B94" s="2" t="n"/>
      <c r="C94" s="2" t="n"/>
      <c r="D94" s="2" t="n"/>
      <c r="E94" s="2" t="n"/>
      <c r="F94" s="2" t="n"/>
      <c r="G94" s="2" t="n"/>
      <c r="H94" s="2" t="n"/>
      <c r="I94" s="2" t="n"/>
      <c r="J94" s="2" t="n"/>
      <c r="K94" s="2" t="n"/>
    </row>
    <row r="95">
      <c r="A95" s="2" t="n"/>
      <c r="B95" s="2" t="n"/>
      <c r="C95" s="2" t="n"/>
      <c r="D95" s="2" t="n"/>
      <c r="E95" s="2" t="n"/>
      <c r="F95" s="2" t="n"/>
      <c r="G95" s="2" t="n"/>
      <c r="H95" s="2" t="n"/>
      <c r="I95" s="2" t="n"/>
      <c r="J95" s="2" t="n"/>
      <c r="K95" s="2" t="n"/>
    </row>
    <row r="96">
      <c r="A96" s="62" t="inlineStr">
        <is>
          <t>Same price, four EPS vintages — this is what the 'P/E' argument is really about</t>
        </is>
      </c>
      <c r="B96" s="2" t="n"/>
      <c r="C96" s="2" t="n"/>
      <c r="D96" s="2" t="n"/>
      <c r="E96" s="2" t="n"/>
      <c r="F96" s="2" t="n"/>
      <c r="G96" s="2" t="n"/>
      <c r="H96" s="2" t="n"/>
      <c r="I96" s="2" t="n"/>
      <c r="J96" s="2" t="n"/>
      <c r="K96" s="2" t="n"/>
    </row>
    <row r="97">
      <c r="A97" s="43" t="inlineStr">
        <is>
          <t>EPS vintage</t>
        </is>
      </c>
      <c r="B97" s="43" t="inlineStr">
        <is>
          <t>FY EPS (¥)</t>
        </is>
      </c>
      <c r="C97" s="43" t="inlineStr">
        <is>
          <t>fwd P/E</t>
        </is>
      </c>
      <c r="D97" s="43" t="inlineStr">
        <is>
          <t>implied beat vs guide</t>
        </is>
      </c>
      <c r="E97" s="2" t="n"/>
      <c r="F97" s="2" t="n"/>
      <c r="G97" s="2" t="n"/>
      <c r="H97" s="2" t="n"/>
      <c r="I97" s="2" t="n"/>
      <c r="J97" s="2" t="n"/>
      <c r="K97" s="2" t="n"/>
    </row>
    <row r="98">
      <c r="A98" s="2" t="inlineStr">
        <is>
          <t>会社 guide (fins_summary)</t>
        </is>
      </c>
      <c r="B98" s="11" t="n">
        <v>209.25</v>
      </c>
      <c r="C98" s="40">
        <f>IFERROR(2020.0/B98,"")</f>
        <v/>
      </c>
      <c r="D98" s="39">
        <f>IFERROR(B98/B98,"")</f>
        <v/>
      </c>
      <c r="E98" s="2" t="n"/>
      <c r="F98" s="2" t="n"/>
      <c r="G98" s="2" t="n"/>
      <c r="H98" s="2" t="n"/>
      <c r="I98" s="2" t="n"/>
      <c r="J98" s="2" t="n"/>
      <c r="K98" s="2" t="n"/>
    </row>
    <row r="99">
      <c r="A99" s="2" t="inlineStr">
        <is>
          <t>街道 consensus (Comp sheet)</t>
        </is>
      </c>
      <c r="B99" s="12">
        <f>IFERROR(INDEX(Comp!I:I,MATCH("51100",Comp!A:A,0)),"")</f>
        <v/>
      </c>
      <c r="C99" s="40">
        <f>IFERROR(2020.0/B99,"")</f>
        <v/>
      </c>
      <c r="D99" s="39">
        <f>IFERROR(B99/B98,"")</f>
        <v/>
      </c>
      <c r="E99" s="2" t="n"/>
      <c r="F99" s="2" t="n"/>
      <c r="G99" s="2" t="n"/>
      <c r="H99" s="2" t="n"/>
      <c r="I99" s="2" t="n"/>
      <c r="J99" s="2" t="n"/>
      <c r="K99" s="2" t="n"/>
    </row>
    <row r="100">
      <c r="A100" s="2" t="inlineStr">
        <is>
          <t>guide × historical median beat</t>
        </is>
      </c>
      <c r="B100" s="57">
        <f>B98*1.0544</f>
        <v/>
      </c>
      <c r="C100" s="40">
        <f>IFERROR(2020.0/B100,"")</f>
        <v/>
      </c>
      <c r="D100" s="39">
        <f>IFERROR(B100/B98,"")</f>
        <v/>
      </c>
      <c r="E100" s="2" t="n"/>
      <c r="F100" s="2" t="n"/>
      <c r="G100" s="2" t="n"/>
      <c r="H100" s="2" t="n"/>
      <c r="I100" s="2" t="n"/>
      <c r="J100" s="2" t="n"/>
      <c r="K100" s="2" t="n"/>
    </row>
    <row r="101">
      <c r="A101" s="3" t="inlineStr">
        <is>
          <t>本模型 this model (FY guide-year)</t>
        </is>
      </c>
      <c r="B101" s="12">
        <f>FS!V22</f>
        <v/>
      </c>
      <c r="C101" s="40">
        <f>IFERROR(2020.0/B101,"")</f>
        <v/>
      </c>
      <c r="D101" s="39">
        <f>IFERROR(B101/B98,"")</f>
        <v/>
      </c>
      <c r="E101" s="2" t="n"/>
      <c r="F101" s="2" t="n"/>
      <c r="G101" s="2" t="n"/>
      <c r="H101" s="2" t="n"/>
      <c r="I101" s="2" t="n"/>
      <c r="J101" s="2" t="n"/>
      <c r="K101" s="2" t="n"/>
    </row>
    <row r="102">
      <c r="A102" s="2" t="inlineStr">
        <is>
          <t>Price used: ¥2,020 (2026-09-28). The 'implied beat' column says what each EPS vintage assumes about the sandbag — compare it against the beat-factor distribution above before believing any of them.</t>
        </is>
      </c>
      <c r="B102" s="2" t="n"/>
      <c r="C102" s="2" t="n"/>
      <c r="D102" s="2" t="n"/>
      <c r="E102" s="2" t="n"/>
      <c r="F102" s="2" t="n"/>
      <c r="G102" s="2" t="n"/>
      <c r="H102" s="2" t="n"/>
      <c r="I102" s="2" t="n"/>
      <c r="J102" s="2" t="n"/>
      <c r="K102"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2026-09-28T16:06:39Z</dcterms:created>
  <dcterms:modified xmlns:dcterms="http://purl.org/dc/terms/" xmlns:xsi="http://www.w3.org/2001/XMLSchema-instance" xsi:type="dcterms:W3CDTF">2026-09-28T16:07:13Z</dcterms:modified>
</cp:coreProperties>
</file>